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huc\Desktop\Advorix Task 3\"/>
    </mc:Choice>
  </mc:AlternateContent>
  <xr:revisionPtr revIDLastSave="0" documentId="13_ncr:1_{0B4401C9-562C-4964-916E-FD888A9435CC}" xr6:coauthVersionLast="47" xr6:coauthVersionMax="47" xr10:uidLastSave="{00000000-0000-0000-0000-000000000000}"/>
  <bookViews>
    <workbookView xWindow="-110" yWindow="-110" windowWidth="19420" windowHeight="10420" firstSheet="13" activeTab="14" xr2:uid="{A6AB76E9-6537-40B5-B9A5-C1465CBFD8B7}"/>
  </bookViews>
  <sheets>
    <sheet name="Sh1-airline ticket prices datas" sheetId="1" r:id="rId1"/>
    <sheet name="Sheet 2- Table Visualisation" sheetId="3" r:id="rId2"/>
    <sheet name="Sheet 3- Ticket Sales Pivot" sheetId="25" r:id="rId3"/>
    <sheet name="Sheet 4- Revenue Pivot" sheetId="26" r:id="rId4"/>
    <sheet name="Sheet 5- Air India Data" sheetId="2" r:id="rId5"/>
    <sheet name="Sheet 6- British Airways Data " sheetId="20" r:id="rId6"/>
    <sheet name="Sheet 7-Emirates Data" sheetId="7" r:id="rId7"/>
    <sheet name="Sheet 8-Etihad Data" sheetId="9" r:id="rId8"/>
    <sheet name="Sheet 9- Lufthansa Data" sheetId="11" r:id="rId9"/>
    <sheet name="Sheet 10- Qatar Airways Data" sheetId="13" r:id="rId10"/>
    <sheet name="Sheet11-Singapore Airlines Data" sheetId="15" r:id="rId11"/>
    <sheet name="Sheet 12- Thai Airways Data" sheetId="17" r:id="rId12"/>
    <sheet name="Sheet13- Comparison by Classes" sheetId="27" r:id="rId13"/>
    <sheet name="Sheet 14- Overall Comparison" sheetId="19" r:id="rId14"/>
    <sheet name="Sheet 15- Insights Report Copy" sheetId="28" r:id="rId15"/>
  </sheets>
  <definedNames>
    <definedName name="_xlnm._FilterDatabase" localSheetId="0" hidden="1">'Sh1-airline ticket prices datas'!$A$1:$J$251</definedName>
    <definedName name="_xlnm._FilterDatabase" localSheetId="9" hidden="1">'Sheet 10- Qatar Airways Data'!$A$1:$J$37</definedName>
    <definedName name="_xlnm._FilterDatabase" localSheetId="11" hidden="1">'Sheet 12- Thai Airways Data'!$A$1:$J$31</definedName>
    <definedName name="_xlnm._FilterDatabase" localSheetId="1" hidden="1">'Sheet 2- Table Visualisation'!$A$1:$G$251</definedName>
    <definedName name="_xlnm._FilterDatabase" localSheetId="4" hidden="1">'Sheet 5- Air India Data'!$A$1:$J$33</definedName>
    <definedName name="_xlnm._FilterDatabase" localSheetId="5" hidden="1">'Sheet 6- British Airways Data '!$B$1:$K$37</definedName>
    <definedName name="_xlnm._FilterDatabase" localSheetId="6" hidden="1">'Sheet 7-Emirates Data'!$A$1:$J$33</definedName>
    <definedName name="_xlnm._FilterDatabase" localSheetId="7" hidden="1">'Sheet 8-Etihad Data'!$A$1:$J$25</definedName>
    <definedName name="_xlnm._FilterDatabase" localSheetId="8" hidden="1">'Sheet 9- Lufthansa Data'!$A$1:$J$35</definedName>
    <definedName name="_xlnm._FilterDatabase" localSheetId="10" hidden="1">'Sheet11-Singapore Airlines Data'!$A$1:$J$27</definedName>
    <definedName name="_xlcn.WorksheetConnection_airline_ticket_prices_datasetA1J2511" hidden="1">'Sh1-airline ticket prices datas'!$A$1:$J$251</definedName>
  </definedNames>
  <calcPr calcId="181029"/>
  <pivotCaches>
    <pivotCache cacheId="0" r:id="rId16"/>
    <pivotCache cacheId="1" r:id="rId17"/>
  </pivotCaches>
  <extLst>
    <ext xmlns:x15="http://schemas.microsoft.com/office/spreadsheetml/2010/11/main" uri="{FCE2AD5D-F65C-4FA6-A056-5C36A1767C68}">
      <x15:dataModel>
        <x15:modelTables>
          <x15:modelTable id="Range" name="Range" connection="WorksheetConnection_airline_ticket_prices_dataset!$A$1:$J$251"/>
        </x15:modelTables>
      </x15:dataModel>
    </ext>
  </extLst>
</workbook>
</file>

<file path=xl/calcChain.xml><?xml version="1.0" encoding="utf-8"?>
<calcChain xmlns="http://schemas.openxmlformats.org/spreadsheetml/2006/main">
  <c r="O26" i="17" l="1"/>
  <c r="O25" i="17"/>
  <c r="M26" i="17"/>
  <c r="M25" i="17"/>
  <c r="O21" i="17"/>
  <c r="O20" i="17"/>
  <c r="M21" i="17"/>
  <c r="M20" i="17"/>
  <c r="O16" i="17"/>
  <c r="O15" i="17"/>
  <c r="M16" i="17"/>
  <c r="M15" i="17"/>
  <c r="P8" i="17"/>
  <c r="O8" i="17"/>
  <c r="N8" i="17"/>
  <c r="M8" i="17"/>
  <c r="P7" i="17"/>
  <c r="O7" i="17"/>
  <c r="N7" i="17"/>
  <c r="M7" i="17"/>
  <c r="P5" i="17"/>
  <c r="O5" i="17"/>
  <c r="N5" i="17"/>
  <c r="M5" i="17"/>
  <c r="P3" i="17"/>
  <c r="O3" i="17"/>
  <c r="N3" i="17"/>
  <c r="M3" i="17"/>
  <c r="O26" i="15"/>
  <c r="O25" i="15"/>
  <c r="M26" i="15"/>
  <c r="M25" i="15"/>
  <c r="O21" i="15"/>
  <c r="O20" i="15"/>
  <c r="M21" i="15"/>
  <c r="M20" i="15"/>
  <c r="O16" i="15"/>
  <c r="O15" i="15"/>
  <c r="M16" i="15"/>
  <c r="M15" i="15"/>
  <c r="P8" i="15"/>
  <c r="O8" i="15"/>
  <c r="N8" i="15"/>
  <c r="M8" i="15"/>
  <c r="P7" i="15"/>
  <c r="O7" i="15"/>
  <c r="N7" i="15"/>
  <c r="M7" i="15"/>
  <c r="P5" i="15"/>
  <c r="O5" i="15"/>
  <c r="N5" i="15"/>
  <c r="M5" i="15"/>
  <c r="P3" i="15"/>
  <c r="O3" i="15"/>
  <c r="N3" i="15"/>
  <c r="M3" i="15"/>
  <c r="O26" i="13"/>
  <c r="O25" i="13"/>
  <c r="M26" i="13"/>
  <c r="M25" i="13"/>
  <c r="O21" i="13"/>
  <c r="O20" i="13"/>
  <c r="M21" i="13"/>
  <c r="M20" i="13"/>
  <c r="O16" i="13"/>
  <c r="O15" i="13"/>
  <c r="M16" i="13"/>
  <c r="M15" i="13"/>
  <c r="P8" i="13"/>
  <c r="O8" i="13"/>
  <c r="N8" i="13"/>
  <c r="M8" i="13"/>
  <c r="P7" i="13"/>
  <c r="O7" i="13"/>
  <c r="N7" i="13"/>
  <c r="M7" i="13"/>
  <c r="P5" i="13"/>
  <c r="O5" i="13"/>
  <c r="N5" i="13"/>
  <c r="M5" i="13"/>
  <c r="P3" i="13"/>
  <c r="O3" i="13"/>
  <c r="N3" i="13"/>
  <c r="M3" i="13"/>
  <c r="O26" i="11"/>
  <c r="O25" i="11"/>
  <c r="M26" i="11"/>
  <c r="M25" i="11"/>
  <c r="O21" i="11"/>
  <c r="O20" i="11"/>
  <c r="M21" i="11"/>
  <c r="M20" i="11"/>
  <c r="O16" i="11"/>
  <c r="O15" i="11"/>
  <c r="M16" i="11"/>
  <c r="M15" i="11"/>
  <c r="P8" i="11"/>
  <c r="O8" i="11"/>
  <c r="N8" i="11"/>
  <c r="M8" i="11"/>
  <c r="P7" i="11"/>
  <c r="O7" i="11"/>
  <c r="N7" i="11"/>
  <c r="M7" i="11"/>
  <c r="P5" i="11"/>
  <c r="O5" i="11"/>
  <c r="N5" i="11"/>
  <c r="M5" i="11"/>
  <c r="P3" i="11"/>
  <c r="O3" i="11"/>
  <c r="N3" i="11"/>
  <c r="M3" i="11"/>
  <c r="O26" i="9"/>
  <c r="O25" i="9"/>
  <c r="M26" i="9"/>
  <c r="M25" i="9"/>
  <c r="O21" i="9"/>
  <c r="O20" i="9"/>
  <c r="M21" i="9"/>
  <c r="M20" i="9"/>
  <c r="O16" i="9"/>
  <c r="O15" i="9"/>
  <c r="M16" i="9"/>
  <c r="M15" i="9"/>
  <c r="P8" i="9"/>
  <c r="O8" i="9"/>
  <c r="N8" i="9"/>
  <c r="M8" i="9"/>
  <c r="P7" i="9"/>
  <c r="O7" i="9"/>
  <c r="N7" i="9"/>
  <c r="M7" i="9"/>
  <c r="P5" i="9"/>
  <c r="O5" i="9"/>
  <c r="N5" i="9"/>
  <c r="M5" i="9"/>
  <c r="P3" i="9"/>
  <c r="O3" i="9"/>
  <c r="N3" i="9"/>
  <c r="M3" i="9"/>
  <c r="P8" i="2"/>
  <c r="O8" i="2"/>
  <c r="N8" i="2"/>
  <c r="M8" i="2"/>
  <c r="P8" i="20"/>
  <c r="O8" i="20"/>
  <c r="N8" i="20"/>
  <c r="M8" i="20"/>
  <c r="P8" i="7"/>
  <c r="O8" i="7"/>
  <c r="N8" i="7"/>
  <c r="M8" i="7"/>
  <c r="O26" i="7"/>
  <c r="O25" i="7"/>
  <c r="M26" i="7"/>
  <c r="M25" i="7"/>
  <c r="O21" i="7"/>
  <c r="O20" i="7"/>
  <c r="M21" i="7"/>
  <c r="M20" i="7"/>
  <c r="O16" i="7"/>
  <c r="O15" i="7"/>
  <c r="M16" i="7"/>
  <c r="M15" i="7"/>
  <c r="P7" i="7"/>
  <c r="O7" i="7"/>
  <c r="N7" i="7"/>
  <c r="M7" i="7"/>
  <c r="P5" i="7"/>
  <c r="O5" i="7"/>
  <c r="N5" i="7"/>
  <c r="M5" i="7"/>
  <c r="P3" i="7"/>
  <c r="O3" i="7"/>
  <c r="N3" i="7"/>
  <c r="M3" i="7"/>
  <c r="O26" i="20"/>
  <c r="O25" i="20"/>
  <c r="O21" i="20"/>
  <c r="O20" i="20"/>
  <c r="O16" i="20"/>
  <c r="O15" i="20"/>
  <c r="P7" i="20"/>
  <c r="O7" i="20"/>
  <c r="P5" i="20"/>
  <c r="O5" i="20"/>
  <c r="P3" i="20"/>
  <c r="O3" i="20"/>
  <c r="J37" i="20"/>
  <c r="J36" i="20"/>
  <c r="J35" i="20"/>
  <c r="J34" i="20"/>
  <c r="J33" i="20"/>
  <c r="J32" i="20"/>
  <c r="J31" i="20"/>
  <c r="J30" i="20"/>
  <c r="J29" i="20"/>
  <c r="J28" i="20"/>
  <c r="J27" i="20"/>
  <c r="M26" i="20"/>
  <c r="J26" i="20"/>
  <c r="J25" i="20"/>
  <c r="J24" i="20"/>
  <c r="J23" i="20"/>
  <c r="J22" i="20"/>
  <c r="J21" i="20"/>
  <c r="J20" i="20"/>
  <c r="J19" i="20"/>
  <c r="J18" i="20"/>
  <c r="J17" i="20"/>
  <c r="J16" i="20"/>
  <c r="M15" i="20"/>
  <c r="J15" i="20"/>
  <c r="J14" i="20"/>
  <c r="J13" i="20"/>
  <c r="J12" i="20"/>
  <c r="J11" i="20"/>
  <c r="J10" i="20"/>
  <c r="J9" i="20"/>
  <c r="J8" i="20"/>
  <c r="N7" i="20"/>
  <c r="M21" i="20" s="1"/>
  <c r="M7" i="20"/>
  <c r="M20" i="20" s="1"/>
  <c r="J7" i="20"/>
  <c r="J6" i="20"/>
  <c r="N5" i="20"/>
  <c r="M16" i="20" s="1"/>
  <c r="M5" i="20"/>
  <c r="M25" i="20" s="1"/>
  <c r="J5" i="20"/>
  <c r="J4" i="20"/>
  <c r="N3" i="20"/>
  <c r="M3" i="20"/>
  <c r="J3" i="20"/>
  <c r="J2" i="20"/>
  <c r="J31" i="17"/>
  <c r="J10" i="17"/>
  <c r="J19" i="17"/>
  <c r="J9" i="17"/>
  <c r="J8" i="17"/>
  <c r="J30" i="17"/>
  <c r="J7" i="17"/>
  <c r="J29" i="17"/>
  <c r="J18" i="17"/>
  <c r="J28" i="17"/>
  <c r="J27" i="17"/>
  <c r="J17" i="17"/>
  <c r="J26" i="17"/>
  <c r="J25" i="17"/>
  <c r="J24" i="17"/>
  <c r="J16" i="17"/>
  <c r="J6" i="17"/>
  <c r="J15" i="17"/>
  <c r="J14" i="17"/>
  <c r="J23" i="17"/>
  <c r="J5" i="17"/>
  <c r="J4" i="17"/>
  <c r="J22" i="17"/>
  <c r="J13" i="17"/>
  <c r="J12" i="17"/>
  <c r="J3" i="17"/>
  <c r="J11" i="17"/>
  <c r="J2" i="17"/>
  <c r="J21" i="17"/>
  <c r="J20" i="17"/>
  <c r="J10" i="15"/>
  <c r="J27" i="15"/>
  <c r="J19" i="15"/>
  <c r="J9" i="15"/>
  <c r="J26" i="15"/>
  <c r="J8" i="15"/>
  <c r="J18" i="15"/>
  <c r="J17" i="15"/>
  <c r="J7" i="15"/>
  <c r="J16" i="15"/>
  <c r="J25" i="15"/>
  <c r="J24" i="15"/>
  <c r="J15" i="15"/>
  <c r="J6" i="15"/>
  <c r="J5" i="15"/>
  <c r="J4" i="15"/>
  <c r="J3" i="15"/>
  <c r="J14" i="15"/>
  <c r="J13" i="15"/>
  <c r="J12" i="15"/>
  <c r="J23" i="15"/>
  <c r="J22" i="15"/>
  <c r="J21" i="15"/>
  <c r="J11" i="15"/>
  <c r="J2" i="15"/>
  <c r="J20" i="15"/>
  <c r="J37" i="13"/>
  <c r="J36" i="13"/>
  <c r="J12" i="13"/>
  <c r="J35" i="13"/>
  <c r="J22" i="13"/>
  <c r="J34" i="13"/>
  <c r="J21" i="13"/>
  <c r="J33" i="13"/>
  <c r="J32" i="13"/>
  <c r="J31" i="13"/>
  <c r="J20" i="13"/>
  <c r="J19" i="13"/>
  <c r="J30" i="13"/>
  <c r="J29" i="13"/>
  <c r="J11" i="13"/>
  <c r="J10" i="13"/>
  <c r="J28" i="13"/>
  <c r="J9" i="13"/>
  <c r="J8" i="13"/>
  <c r="J7" i="13"/>
  <c r="J6" i="13"/>
  <c r="J18" i="13"/>
  <c r="J27" i="13"/>
  <c r="J26" i="13"/>
  <c r="J25" i="13"/>
  <c r="J17" i="13"/>
  <c r="J16" i="13"/>
  <c r="J24" i="13"/>
  <c r="J15" i="13"/>
  <c r="J14" i="13"/>
  <c r="J5" i="13"/>
  <c r="J23" i="13"/>
  <c r="J13" i="13"/>
  <c r="J4" i="13"/>
  <c r="J3" i="13"/>
  <c r="J2" i="13"/>
  <c r="J12" i="11"/>
  <c r="J11" i="11"/>
  <c r="J10" i="11"/>
  <c r="J25" i="11"/>
  <c r="J35" i="11"/>
  <c r="J24" i="11"/>
  <c r="J23" i="11"/>
  <c r="J22" i="11"/>
  <c r="J34" i="11"/>
  <c r="J9" i="11"/>
  <c r="J33" i="11"/>
  <c r="J21" i="11"/>
  <c r="J32" i="11"/>
  <c r="J31" i="11"/>
  <c r="J20" i="11"/>
  <c r="J8" i="11"/>
  <c r="J30" i="11"/>
  <c r="J19" i="11"/>
  <c r="J18" i="11"/>
  <c r="J7" i="11"/>
  <c r="J6" i="11"/>
  <c r="J5" i="11"/>
  <c r="J17" i="11"/>
  <c r="J29" i="11"/>
  <c r="J16" i="11"/>
  <c r="J28" i="11"/>
  <c r="J15" i="11"/>
  <c r="J14" i="11"/>
  <c r="J4" i="11"/>
  <c r="J3" i="11"/>
  <c r="J27" i="11"/>
  <c r="J26" i="11"/>
  <c r="J13" i="11"/>
  <c r="J2" i="11"/>
  <c r="J19" i="9"/>
  <c r="J12" i="9"/>
  <c r="J18" i="9"/>
  <c r="J25" i="9"/>
  <c r="J11" i="9"/>
  <c r="J10" i="9"/>
  <c r="J24" i="9"/>
  <c r="J9" i="9"/>
  <c r="J23" i="9"/>
  <c r="J8" i="9"/>
  <c r="J17" i="9"/>
  <c r="J7" i="9"/>
  <c r="J22" i="9"/>
  <c r="J6" i="9"/>
  <c r="J21" i="9"/>
  <c r="J16" i="9"/>
  <c r="J15" i="9"/>
  <c r="J14" i="9"/>
  <c r="J5" i="9"/>
  <c r="J13" i="9"/>
  <c r="J20" i="9"/>
  <c r="J4" i="9"/>
  <c r="J3" i="9"/>
  <c r="J2" i="9"/>
  <c r="J23" i="7"/>
  <c r="J8" i="7"/>
  <c r="J22" i="7"/>
  <c r="J21" i="7"/>
  <c r="J33" i="7"/>
  <c r="J32" i="7"/>
  <c r="J7" i="7"/>
  <c r="J6" i="7"/>
  <c r="J31" i="7"/>
  <c r="J5" i="7"/>
  <c r="J20" i="7"/>
  <c r="J30" i="7"/>
  <c r="J29" i="7"/>
  <c r="J28" i="7"/>
  <c r="J27" i="7"/>
  <c r="J26" i="7"/>
  <c r="J4" i="7"/>
  <c r="J19" i="7"/>
  <c r="J3" i="7"/>
  <c r="J18" i="7"/>
  <c r="J17" i="7"/>
  <c r="J25" i="7"/>
  <c r="J16" i="7"/>
  <c r="J15" i="7"/>
  <c r="J2" i="7"/>
  <c r="J14" i="7"/>
  <c r="J13" i="7"/>
  <c r="J12" i="7"/>
  <c r="J11" i="7"/>
  <c r="J10" i="7"/>
  <c r="J9" i="7"/>
  <c r="J24" i="7"/>
  <c r="O26" i="2"/>
  <c r="O25" i="2"/>
  <c r="M26" i="2"/>
  <c r="M25" i="2"/>
  <c r="O21" i="2"/>
  <c r="O20" i="2"/>
  <c r="M21" i="2"/>
  <c r="M20" i="2"/>
  <c r="O16" i="2"/>
  <c r="M16" i="2"/>
  <c r="O15" i="2"/>
  <c r="M15" i="2"/>
  <c r="P7" i="2"/>
  <c r="O7" i="2"/>
  <c r="N7" i="2"/>
  <c r="M7" i="2"/>
  <c r="P5" i="2"/>
  <c r="O5" i="2"/>
  <c r="N5" i="2"/>
  <c r="M5" i="2"/>
  <c r="P3" i="2"/>
  <c r="O3" i="2"/>
  <c r="N3" i="2"/>
  <c r="M3" i="2"/>
  <c r="J4" i="2"/>
  <c r="J12" i="2"/>
  <c r="J18" i="2"/>
  <c r="J28" i="2"/>
  <c r="J33" i="2"/>
  <c r="J24" i="2"/>
  <c r="J7" i="2"/>
  <c r="J17" i="2"/>
  <c r="J3" i="2"/>
  <c r="J8" i="2"/>
  <c r="J11" i="2"/>
  <c r="J10" i="2"/>
  <c r="J25" i="2"/>
  <c r="J15" i="2"/>
  <c r="J26" i="2"/>
  <c r="J16" i="2"/>
  <c r="J19" i="2"/>
  <c r="J21" i="2"/>
  <c r="J14" i="2"/>
  <c r="J23" i="2"/>
  <c r="J2" i="2"/>
  <c r="J13" i="2"/>
  <c r="J22" i="2"/>
  <c r="J27" i="2"/>
  <c r="J29" i="2"/>
  <c r="J5" i="2"/>
  <c r="J9" i="2"/>
  <c r="J6" i="2"/>
  <c r="J31" i="2"/>
  <c r="J30" i="2"/>
  <c r="J32" i="2"/>
  <c r="J20" i="2"/>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J2" i="3"/>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565E15-9B0A-430A-8FFB-3B2B3BE5395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158AC29-C364-43EA-8E37-BA82BF30DAD2}" name="WorksheetConnection_airline_ticket_prices_dataset!$A$1:$J$251" type="102" refreshedVersion="8" minRefreshableVersion="5">
    <extLst>
      <ext xmlns:x15="http://schemas.microsoft.com/office/spreadsheetml/2010/11/main" uri="{DE250136-89BD-433C-8126-D09CA5730AF9}">
        <x15:connection id="Range" autoDelete="1">
          <x15:rangePr sourceName="_xlcn.WorksheetConnection_airline_ticket_prices_datasetA1J2511"/>
        </x15:connection>
      </ext>
    </extLst>
  </connection>
</connections>
</file>

<file path=xl/sharedStrings.xml><?xml version="1.0" encoding="utf-8"?>
<sst xmlns="http://schemas.openxmlformats.org/spreadsheetml/2006/main" count="3514" uniqueCount="113">
  <si>
    <t>Ticket_ID</t>
  </si>
  <si>
    <t>Airline</t>
  </si>
  <si>
    <t>Origin</t>
  </si>
  <si>
    <t>Destination</t>
  </si>
  <si>
    <t>Distance_km</t>
  </si>
  <si>
    <t>Class</t>
  </si>
  <si>
    <t>Days_Before_Departure</t>
  </si>
  <si>
    <t>Price_USD</t>
  </si>
  <si>
    <t>Mumbai</t>
  </si>
  <si>
    <t>Paris</t>
  </si>
  <si>
    <t>Economy</t>
  </si>
  <si>
    <t>Etihad</t>
  </si>
  <si>
    <t>Istanbul</t>
  </si>
  <si>
    <t>Jeddah</t>
  </si>
  <si>
    <t>Business</t>
  </si>
  <si>
    <t>British Airways</t>
  </si>
  <si>
    <t>Dubai</t>
  </si>
  <si>
    <t>Riyadh</t>
  </si>
  <si>
    <t>First</t>
  </si>
  <si>
    <t>Emirates</t>
  </si>
  <si>
    <t>London</t>
  </si>
  <si>
    <t>Qatar Airways</t>
  </si>
  <si>
    <t>Doha</t>
  </si>
  <si>
    <t>New York</t>
  </si>
  <si>
    <t>Cairo</t>
  </si>
  <si>
    <t>Lufthansa</t>
  </si>
  <si>
    <t>Units_Sold</t>
  </si>
  <si>
    <t>Revenue_USD</t>
  </si>
  <si>
    <t>Singapore Airlines</t>
  </si>
  <si>
    <t xml:space="preserve">Air India </t>
  </si>
  <si>
    <t>Thai Airways</t>
  </si>
  <si>
    <t xml:space="preserve">Business </t>
  </si>
  <si>
    <t>Total Sales</t>
  </si>
  <si>
    <t>Average Sales</t>
  </si>
  <si>
    <t>Total Revenue</t>
  </si>
  <si>
    <t>Average Revenue</t>
  </si>
  <si>
    <t xml:space="preserve">Economy </t>
  </si>
  <si>
    <t xml:space="preserve">First </t>
  </si>
  <si>
    <t>Difference Between the Three</t>
  </si>
  <si>
    <t xml:space="preserve">Business and Economy </t>
  </si>
  <si>
    <t xml:space="preserve">Revenue </t>
  </si>
  <si>
    <t>Sales</t>
  </si>
  <si>
    <t>Revenue</t>
  </si>
  <si>
    <t xml:space="preserve">Business and First </t>
  </si>
  <si>
    <t xml:space="preserve">Economy and First </t>
  </si>
  <si>
    <t>Business and Economy</t>
  </si>
  <si>
    <t>Business and First</t>
  </si>
  <si>
    <t>Economy and First</t>
  </si>
  <si>
    <t xml:space="preserve">Average Revenue </t>
  </si>
  <si>
    <t>Total</t>
  </si>
  <si>
    <t xml:space="preserve">Total </t>
  </si>
  <si>
    <t xml:space="preserve">Average </t>
  </si>
  <si>
    <t>Average</t>
  </si>
  <si>
    <t>Busines</t>
  </si>
  <si>
    <t>Row Labels</t>
  </si>
  <si>
    <t>Grand Total</t>
  </si>
  <si>
    <t>Sum of Units_Sold</t>
  </si>
  <si>
    <t>Sum of Revenue_USD</t>
  </si>
  <si>
    <t>Air India</t>
  </si>
  <si>
    <t xml:space="preserve">British Airways </t>
  </si>
  <si>
    <t xml:space="preserve">Emirates </t>
  </si>
  <si>
    <t xml:space="preserve">Qatar Airways </t>
  </si>
  <si>
    <t xml:space="preserve">Thai Airways </t>
  </si>
  <si>
    <t xml:space="preserve">Class </t>
  </si>
  <si>
    <t xml:space="preserve">Advorix Technologies Business Insights Report </t>
  </si>
  <si>
    <t xml:space="preserve">For the following task, Airline ticketing data has been taken into consideration. The Airlines that have been taken are the following: Air India, British Airways, Emirates, Etihad, Lufthansa, Qatar Airways, Singapore Airlines and Thai Airways. </t>
  </si>
  <si>
    <t xml:space="preserve">The data comparison is happening across the different airline classes namely business, economy and first. The fields taken into consideration for the comparison are the number of tickets sold and the revenue generated by the sales. </t>
  </si>
  <si>
    <t xml:space="preserve">1.   Air India </t>
  </si>
  <si>
    <t xml:space="preserve">In terms of number of tickets sold, Economy class takes the lead with 1450 tickets closely followed by First class with 1257 tickets and the least being Business class with 727 tickets. </t>
  </si>
  <si>
    <t xml:space="preserve">In terms of revenue as well Economy class takes the lead followed by First class and the least being Business class again. This indicates that the number of tickets sold multiplied by the unit price per ticket is directly proportionate to the revenue generated. </t>
  </si>
  <si>
    <t>From Air India data we can conclude that Economy class is their best seller and Business class is their least seller.</t>
  </si>
  <si>
    <t xml:space="preserve">2.   British Airways </t>
  </si>
  <si>
    <t xml:space="preserve">In terms of number of tickets sold Economy class takes the lead with 1530 units followed by First class with 1323 and Business class with 871. </t>
  </si>
  <si>
    <t>In terms of revenue generated however First class takes the lead followed by Economy class and Business class at the last. The reason for this is that the unit price for the First class tickets is higher than the unit price for the Economy class tickets. Hence despite having more units sold, revenue generated by First class is greater than revenue generated by Economy class.</t>
  </si>
  <si>
    <t xml:space="preserve">3.   Emirates </t>
  </si>
  <si>
    <t xml:space="preserve">In terms of number of tickets sold, Economy class has the most sales with 1529 units sold followed by First class at 1011 units sold and finally Business class with 520 units sold. </t>
  </si>
  <si>
    <t xml:space="preserve">In terms of revenue generated Economy class takes the lead followed by First class and then at the last is Business class. From this we can understand that Economy class is the most popular or preferred and Business class is the least popular or preferred. </t>
  </si>
  <si>
    <t>4.   Etihad</t>
  </si>
  <si>
    <t>In terms of number of tickets sold Business class takes the lead with 1418 units sold. This is followed by First class at 638 tickets sold and Economy at the last with 394 units sold.</t>
  </si>
  <si>
    <t>In terms of revenue generation Business class takes the lead followed by First class and at the last place is Economy class. From this we can understand that Business class is the most favoured whereas Economy class is the least favoured.</t>
  </si>
  <si>
    <t xml:space="preserve">5.   Lufthansa </t>
  </si>
  <si>
    <t>In terms of tickets sold, Economy class has the greatest number of tickets sold with 1221 units sold. This is followed by Business class with 1000 units sold and at the last is First class with 676 units sold.</t>
  </si>
  <si>
    <t xml:space="preserve">In terms of revenue generation, Business class has generated the most revenue followed by Economy class and First class is the least. From this we can gather that Business class has unit price higher than Economy class due to which revenue generated by Business class tickets sales is higher. </t>
  </si>
  <si>
    <t xml:space="preserve">6.   Qatar Airways </t>
  </si>
  <si>
    <t xml:space="preserve">In terms of number of tickets sold, First class takes the lead with 1500 units followed by Business class with 1057 units and finally Economy class at the last with 817 units sold. </t>
  </si>
  <si>
    <t>In terms of revenue generated, First class is at the lead followed by Economy class and finally Business class at the last. From this we can understand that Economy class tickets per unit price is higher than that of Business class which is why it is placed second.</t>
  </si>
  <si>
    <t>7.   Singapore Airlines</t>
  </si>
  <si>
    <t xml:space="preserve">In terms of ticket sales, Economy class is the most with 1165 units sold. This is followed by Business class at 877 units sold and finally First class with 863 units sold. </t>
  </si>
  <si>
    <t>In terms of revenue generated, First class is at first position followed by Economy class with Business class being at the last. This is again due to the fact that First class tickets per unit pricing is way higher than that of Economy class and Business class due to which it has generated the highest revenue.</t>
  </si>
  <si>
    <t xml:space="preserve">8.   Thai Airways </t>
  </si>
  <si>
    <t xml:space="preserve">In terms of number of tickets sold, First class takes the lead with 1244 units sold. This is followed by Economy class having sold 1073 units and finally Business class having sold 1014 units. </t>
  </si>
  <si>
    <t xml:space="preserve">In terms of revenue generation, First class takes the lead followed by Economy class and at the last is Business class. This makes it evident that First class is the most sold and Business class is the least sold. </t>
  </si>
  <si>
    <t>Overall Summary across Airlines and Classes</t>
  </si>
  <si>
    <t xml:space="preserve">In terms of overall comparison across classes, Etihad has sold the most number of Business class tickets with 1418 in terms of number of units sold. Emirates has sold the least number of Business class tickets at 520 units. </t>
  </si>
  <si>
    <t xml:space="preserve">Similarly for Economy class tickets British Airways has sold the maximum number of them with 1530 units sold. Etihad has sold the least number of Economy class tickets with 394 units sold. </t>
  </si>
  <si>
    <t xml:space="preserve">In terms of First class tickets, Qatar Airways has sold the greatest number of them with 1500 units sold. Etihad has sold the least number of First class tickets with 638 units sold. </t>
  </si>
  <si>
    <t xml:space="preserve">In terms of Overall comparison across the Classes and Airlines, we can see the following data: </t>
  </si>
  <si>
    <t>British Airways has sold the greatest number of tickets with 3724 units sold</t>
  </si>
  <si>
    <t xml:space="preserve">Etihad has sold the least number of tickets with 2450 units sold </t>
  </si>
  <si>
    <t>Qatar Airways has generated the greatest overall revenue amongst all the airlines</t>
  </si>
  <si>
    <t>Singapore Airlines has generated the least overall revenue amongst all the airlines</t>
  </si>
  <si>
    <t>Insights and Conclusion</t>
  </si>
  <si>
    <t>Conclusion</t>
  </si>
  <si>
    <t>a)   The revenue generated is dependent on the per unit price of the ticket and the number of tickets sold</t>
  </si>
  <si>
    <t>b)  Even if number of tickets sold is high, revenue generated depends on the price of the single unit of it. Hence even if another class ticket has sold lesser number of tickets if its per unit price is higher, the revenue generated by it is higher than that generated by the highest selling unit’s category.</t>
  </si>
  <si>
    <t xml:space="preserve">c)    The more in advance the tickets are booked the better the fare offered by the airline. </t>
  </si>
  <si>
    <t>d)  All airlines fly across similar and different destinations both but there is price difference based on the airline</t>
  </si>
  <si>
    <t>Insights</t>
  </si>
  <si>
    <t xml:space="preserve">a)   Across most airlines Business class isn’t faring that well compared to Economy and First class. This must be taken into account and appropriate action to be taken through marketing and promotions </t>
  </si>
  <si>
    <t xml:space="preserve">b)  Customers must be encouraged to book well in advance so that the fares are set accordingly </t>
  </si>
  <si>
    <t xml:space="preserve">c)    Some airlines have good ticketing volume but are trailing behind with revenue generation. Suitable steps must be taken to make revenue generation from them more stable </t>
  </si>
  <si>
    <t xml:space="preserve">d)  Airlines having good revenue but weak ticketing must take a closer look at improving ticketing sales to further improve and increase revenue generation. </t>
  </si>
  <si>
    <t xml:space="preserve">e)   First class and Economy class have strong ticketing and revenue generation base. That must be maintained at the same level and with time should also see strategies to improve on 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</si>
</sst>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[Advorix Data Analytics Internship_Task 3-Business Insights Report.xlsx]Sheet 3- Ticket Sales 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r>
              <a:rPr lang="en-US" baseline="0"/>
              <a:t> of Each Airline across Classes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3- Ticket Sales Pivot'!$B$3</c:f>
              <c:strCache>
                <c:ptCount val="1"/>
                <c:pt idx="0">
                  <c:v>Total</c:v>
                </c:pt>
              </c:strCache>
            </c:strRef>
          </c:tx>
          <c:spPr>
            <a:solidFill>
              <a:schemeClr val="accent1"/>
            </a:solidFill>
            <a:ln>
              <a:noFill/>
            </a:ln>
            <a:effectLst/>
          </c:spPr>
          <c:invertIfNegative val="0"/>
          <c:cat>
            <c:multiLvlStrRef>
              <c:f>'Sheet 3- Ticket Sales Pivot'!$A$4:$A$36</c:f>
              <c:multiLvlStrCache>
                <c:ptCount val="24"/>
                <c:lvl>
                  <c:pt idx="0">
                    <c:v>Business</c:v>
                  </c:pt>
                  <c:pt idx="1">
                    <c:v>Economy</c:v>
                  </c:pt>
                  <c:pt idx="2">
                    <c:v>First</c:v>
                  </c:pt>
                  <c:pt idx="3">
                    <c:v>Business</c:v>
                  </c:pt>
                  <c:pt idx="4">
                    <c:v>Economy</c:v>
                  </c:pt>
                  <c:pt idx="5">
                    <c:v>First</c:v>
                  </c:pt>
                  <c:pt idx="6">
                    <c:v>Business</c:v>
                  </c:pt>
                  <c:pt idx="7">
                    <c:v>Economy</c:v>
                  </c:pt>
                  <c:pt idx="8">
                    <c:v>First</c:v>
                  </c:pt>
                  <c:pt idx="9">
                    <c:v>Business</c:v>
                  </c:pt>
                  <c:pt idx="10">
                    <c:v>Economy</c:v>
                  </c:pt>
                  <c:pt idx="11">
                    <c:v>First</c:v>
                  </c:pt>
                  <c:pt idx="12">
                    <c:v>Business</c:v>
                  </c:pt>
                  <c:pt idx="13">
                    <c:v>Economy</c:v>
                  </c:pt>
                  <c:pt idx="14">
                    <c:v>First</c:v>
                  </c:pt>
                  <c:pt idx="15">
                    <c:v>Business</c:v>
                  </c:pt>
                  <c:pt idx="16">
                    <c:v>Economy</c:v>
                  </c:pt>
                  <c:pt idx="17">
                    <c:v>First</c:v>
                  </c:pt>
                  <c:pt idx="18">
                    <c:v>Business</c:v>
                  </c:pt>
                  <c:pt idx="19">
                    <c:v>Economy</c:v>
                  </c:pt>
                  <c:pt idx="20">
                    <c:v>First</c:v>
                  </c:pt>
                  <c:pt idx="21">
                    <c:v>Business</c:v>
                  </c:pt>
                  <c:pt idx="22">
                    <c:v>Economy</c:v>
                  </c:pt>
                  <c:pt idx="23">
                    <c:v>First</c:v>
                  </c:pt>
                </c:lvl>
                <c:lvl>
                  <c:pt idx="0">
                    <c:v>Air India</c:v>
                  </c:pt>
                  <c:pt idx="3">
                    <c:v>British Airways</c:v>
                  </c:pt>
                  <c:pt idx="6">
                    <c:v>Emirates</c:v>
                  </c:pt>
                  <c:pt idx="9">
                    <c:v>Etihad</c:v>
                  </c:pt>
                  <c:pt idx="12">
                    <c:v>Lufthansa</c:v>
                  </c:pt>
                  <c:pt idx="15">
                    <c:v>Qatar Airways</c:v>
                  </c:pt>
                  <c:pt idx="18">
                    <c:v>Singapore Airlines</c:v>
                  </c:pt>
                  <c:pt idx="21">
                    <c:v>Thai Airways</c:v>
                  </c:pt>
                </c:lvl>
              </c:multiLvlStrCache>
            </c:multiLvlStrRef>
          </c:cat>
          <c:val>
            <c:numRef>
              <c:f>'Sheet 3- Ticket Sales Pivot'!$B$4:$B$36</c:f>
              <c:numCache>
                <c:formatCode>General</c:formatCode>
                <c:ptCount val="24"/>
                <c:pt idx="0">
                  <c:v>727</c:v>
                </c:pt>
                <c:pt idx="1">
                  <c:v>1450</c:v>
                </c:pt>
                <c:pt idx="2">
                  <c:v>1257</c:v>
                </c:pt>
                <c:pt idx="3">
                  <c:v>871</c:v>
                </c:pt>
                <c:pt idx="4">
                  <c:v>1530</c:v>
                </c:pt>
                <c:pt idx="5">
                  <c:v>1323</c:v>
                </c:pt>
                <c:pt idx="6">
                  <c:v>520</c:v>
                </c:pt>
                <c:pt idx="7">
                  <c:v>1529</c:v>
                </c:pt>
                <c:pt idx="8">
                  <c:v>1011</c:v>
                </c:pt>
                <c:pt idx="9">
                  <c:v>1418</c:v>
                </c:pt>
                <c:pt idx="10">
                  <c:v>394</c:v>
                </c:pt>
                <c:pt idx="11">
                  <c:v>638</c:v>
                </c:pt>
                <c:pt idx="12">
                  <c:v>1000</c:v>
                </c:pt>
                <c:pt idx="13">
                  <c:v>1221</c:v>
                </c:pt>
                <c:pt idx="14">
                  <c:v>676</c:v>
                </c:pt>
                <c:pt idx="15">
                  <c:v>1027</c:v>
                </c:pt>
                <c:pt idx="16">
                  <c:v>817</c:v>
                </c:pt>
                <c:pt idx="17">
                  <c:v>1500</c:v>
                </c:pt>
                <c:pt idx="18">
                  <c:v>877</c:v>
                </c:pt>
                <c:pt idx="19">
                  <c:v>1165</c:v>
                </c:pt>
                <c:pt idx="20">
                  <c:v>863</c:v>
                </c:pt>
                <c:pt idx="21">
                  <c:v>1014</c:v>
                </c:pt>
                <c:pt idx="22">
                  <c:v>1073</c:v>
                </c:pt>
                <c:pt idx="23">
                  <c:v>1244</c:v>
                </c:pt>
              </c:numCache>
            </c:numRef>
          </c:val>
          <c:extLst>
            <c:ext xmlns:c16="http://schemas.microsoft.com/office/drawing/2014/chart" uri="{C3380CC4-5D6E-409C-BE32-E72D297353CC}">
              <c16:uniqueId val="{00000000-FEC5-44D0-B321-9C2CD74F0487}"/>
            </c:ext>
          </c:extLst>
        </c:ser>
        <c:dLbls>
          <c:showLegendKey val="0"/>
          <c:showVal val="0"/>
          <c:showCatName val="0"/>
          <c:showSerName val="0"/>
          <c:showPercent val="0"/>
          <c:showBubbleSize val="0"/>
        </c:dLbls>
        <c:gapWidth val="219"/>
        <c:overlap val="-27"/>
        <c:axId val="331207200"/>
        <c:axId val="331206480"/>
      </c:barChart>
      <c:catAx>
        <c:axId val="33120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206480"/>
        <c:crosses val="autoZero"/>
        <c:auto val="1"/>
        <c:lblAlgn val="ctr"/>
        <c:lblOffset val="100"/>
        <c:noMultiLvlLbl val="0"/>
      </c:catAx>
      <c:valAx>
        <c:axId val="33120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20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[Advorix Data Analytics Internship_Task 3-Business Insights Report.xlsx]Sheet 3- Ticket Sales Pivot!PivotTable5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of Each</a:t>
            </a:r>
            <a:r>
              <a:rPr lang="en-IN" baseline="0"/>
              <a:t> Airline across Classes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'Sheet 3- Ticket Sales 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D6-427E-A4B6-BEB5623F5A1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D6-427E-A4B6-BEB5623F5A1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D6-427E-A4B6-BEB5623F5A1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3D6-427E-A4B6-BEB5623F5A1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3D6-427E-A4B6-BEB5623F5A1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3D6-427E-A4B6-BEB5623F5A1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3D6-427E-A4B6-BEB5623F5A1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3D6-427E-A4B6-BEB5623F5A1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3D6-427E-A4B6-BEB5623F5A1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3D6-427E-A4B6-BEB5623F5A1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3D6-427E-A4B6-BEB5623F5A1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3D6-427E-A4B6-BEB5623F5A16}"/>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3D6-427E-A4B6-BEB5623F5A16}"/>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3D6-427E-A4B6-BEB5623F5A16}"/>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3D6-427E-A4B6-BEB5623F5A16}"/>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3D6-427E-A4B6-BEB5623F5A16}"/>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3D6-427E-A4B6-BEB5623F5A16}"/>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3D6-427E-A4B6-BEB5623F5A16}"/>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3D6-427E-A4B6-BEB5623F5A16}"/>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B3D6-427E-A4B6-BEB5623F5A16}"/>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B3D6-427E-A4B6-BEB5623F5A16}"/>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B3D6-427E-A4B6-BEB5623F5A16}"/>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B3D6-427E-A4B6-BEB5623F5A16}"/>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B3D6-427E-A4B6-BEB5623F5A16}"/>
              </c:ext>
            </c:extLst>
          </c:dPt>
          <c:cat>
            <c:multiLvlStrRef>
              <c:f>'Sheet 3- Ticket Sales Pivot'!$A$4:$A$36</c:f>
              <c:multiLvlStrCache>
                <c:ptCount val="24"/>
                <c:lvl>
                  <c:pt idx="0">
                    <c:v>Business</c:v>
                  </c:pt>
                  <c:pt idx="1">
                    <c:v>Economy</c:v>
                  </c:pt>
                  <c:pt idx="2">
                    <c:v>First</c:v>
                  </c:pt>
                  <c:pt idx="3">
                    <c:v>Business</c:v>
                  </c:pt>
                  <c:pt idx="4">
                    <c:v>Economy</c:v>
                  </c:pt>
                  <c:pt idx="5">
                    <c:v>First</c:v>
                  </c:pt>
                  <c:pt idx="6">
                    <c:v>Business</c:v>
                  </c:pt>
                  <c:pt idx="7">
                    <c:v>Economy</c:v>
                  </c:pt>
                  <c:pt idx="8">
                    <c:v>First</c:v>
                  </c:pt>
                  <c:pt idx="9">
                    <c:v>Business</c:v>
                  </c:pt>
                  <c:pt idx="10">
                    <c:v>Economy</c:v>
                  </c:pt>
                  <c:pt idx="11">
                    <c:v>First</c:v>
                  </c:pt>
                  <c:pt idx="12">
                    <c:v>Business</c:v>
                  </c:pt>
                  <c:pt idx="13">
                    <c:v>Economy</c:v>
                  </c:pt>
                  <c:pt idx="14">
                    <c:v>First</c:v>
                  </c:pt>
                  <c:pt idx="15">
                    <c:v>Business</c:v>
                  </c:pt>
                  <c:pt idx="16">
                    <c:v>Economy</c:v>
                  </c:pt>
                  <c:pt idx="17">
                    <c:v>First</c:v>
                  </c:pt>
                  <c:pt idx="18">
                    <c:v>Business</c:v>
                  </c:pt>
                  <c:pt idx="19">
                    <c:v>Economy</c:v>
                  </c:pt>
                  <c:pt idx="20">
                    <c:v>First</c:v>
                  </c:pt>
                  <c:pt idx="21">
                    <c:v>Business</c:v>
                  </c:pt>
                  <c:pt idx="22">
                    <c:v>Economy</c:v>
                  </c:pt>
                  <c:pt idx="23">
                    <c:v>First</c:v>
                  </c:pt>
                </c:lvl>
                <c:lvl>
                  <c:pt idx="0">
                    <c:v>Air India</c:v>
                  </c:pt>
                  <c:pt idx="3">
                    <c:v>British Airways</c:v>
                  </c:pt>
                  <c:pt idx="6">
                    <c:v>Emirates</c:v>
                  </c:pt>
                  <c:pt idx="9">
                    <c:v>Etihad</c:v>
                  </c:pt>
                  <c:pt idx="12">
                    <c:v>Lufthansa</c:v>
                  </c:pt>
                  <c:pt idx="15">
                    <c:v>Qatar Airways</c:v>
                  </c:pt>
                  <c:pt idx="18">
                    <c:v>Singapore Airlines</c:v>
                  </c:pt>
                  <c:pt idx="21">
                    <c:v>Thai Airways</c:v>
                  </c:pt>
                </c:lvl>
              </c:multiLvlStrCache>
            </c:multiLvlStrRef>
          </c:cat>
          <c:val>
            <c:numRef>
              <c:f>'Sheet 3- Ticket Sales Pivot'!$B$4:$B$36</c:f>
              <c:numCache>
                <c:formatCode>General</c:formatCode>
                <c:ptCount val="24"/>
                <c:pt idx="0">
                  <c:v>727</c:v>
                </c:pt>
                <c:pt idx="1">
                  <c:v>1450</c:v>
                </c:pt>
                <c:pt idx="2">
                  <c:v>1257</c:v>
                </c:pt>
                <c:pt idx="3">
                  <c:v>871</c:v>
                </c:pt>
                <c:pt idx="4">
                  <c:v>1530</c:v>
                </c:pt>
                <c:pt idx="5">
                  <c:v>1323</c:v>
                </c:pt>
                <c:pt idx="6">
                  <c:v>520</c:v>
                </c:pt>
                <c:pt idx="7">
                  <c:v>1529</c:v>
                </c:pt>
                <c:pt idx="8">
                  <c:v>1011</c:v>
                </c:pt>
                <c:pt idx="9">
                  <c:v>1418</c:v>
                </c:pt>
                <c:pt idx="10">
                  <c:v>394</c:v>
                </c:pt>
                <c:pt idx="11">
                  <c:v>638</c:v>
                </c:pt>
                <c:pt idx="12">
                  <c:v>1000</c:v>
                </c:pt>
                <c:pt idx="13">
                  <c:v>1221</c:v>
                </c:pt>
                <c:pt idx="14">
                  <c:v>676</c:v>
                </c:pt>
                <c:pt idx="15">
                  <c:v>1027</c:v>
                </c:pt>
                <c:pt idx="16">
                  <c:v>817</c:v>
                </c:pt>
                <c:pt idx="17">
                  <c:v>1500</c:v>
                </c:pt>
                <c:pt idx="18">
                  <c:v>877</c:v>
                </c:pt>
                <c:pt idx="19">
                  <c:v>1165</c:v>
                </c:pt>
                <c:pt idx="20">
                  <c:v>863</c:v>
                </c:pt>
                <c:pt idx="21">
                  <c:v>1014</c:v>
                </c:pt>
                <c:pt idx="22">
                  <c:v>1073</c:v>
                </c:pt>
                <c:pt idx="23">
                  <c:v>1244</c:v>
                </c:pt>
              </c:numCache>
            </c:numRef>
          </c:val>
          <c:extLst>
            <c:ext xmlns:c16="http://schemas.microsoft.com/office/drawing/2014/chart" uri="{C3380CC4-5D6E-409C-BE32-E72D297353CC}">
              <c16:uniqueId val="{00000000-839E-4DF3-961E-CFC0FF7597E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[Advorix Data Analytics Internship_Task 3-Business Insights Report.xlsx]Sheet 4- Revenue 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 of Each</a:t>
            </a:r>
            <a:r>
              <a:rPr lang="en-IN" baseline="0"/>
              <a:t> Airline across Classes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4- Revenue Pivot'!$B$3</c:f>
              <c:strCache>
                <c:ptCount val="1"/>
                <c:pt idx="0">
                  <c:v>Total</c:v>
                </c:pt>
              </c:strCache>
            </c:strRef>
          </c:tx>
          <c:spPr>
            <a:solidFill>
              <a:schemeClr val="accent1"/>
            </a:solidFill>
            <a:ln>
              <a:noFill/>
            </a:ln>
            <a:effectLst/>
          </c:spPr>
          <c:invertIfNegative val="0"/>
          <c:cat>
            <c:multiLvlStrRef>
              <c:f>'Sheet 4- Revenue Pivot'!$A$4:$A$36</c:f>
              <c:multiLvlStrCache>
                <c:ptCount val="24"/>
                <c:lvl>
                  <c:pt idx="0">
                    <c:v>Business</c:v>
                  </c:pt>
                  <c:pt idx="1">
                    <c:v>Economy</c:v>
                  </c:pt>
                  <c:pt idx="2">
                    <c:v>First</c:v>
                  </c:pt>
                  <c:pt idx="3">
                    <c:v>Business</c:v>
                  </c:pt>
                  <c:pt idx="4">
                    <c:v>Economy</c:v>
                  </c:pt>
                  <c:pt idx="5">
                    <c:v>First</c:v>
                  </c:pt>
                  <c:pt idx="6">
                    <c:v>Business</c:v>
                  </c:pt>
                  <c:pt idx="7">
                    <c:v>Economy</c:v>
                  </c:pt>
                  <c:pt idx="8">
                    <c:v>First</c:v>
                  </c:pt>
                  <c:pt idx="9">
                    <c:v>Business</c:v>
                  </c:pt>
                  <c:pt idx="10">
                    <c:v>Economy</c:v>
                  </c:pt>
                  <c:pt idx="11">
                    <c:v>First</c:v>
                  </c:pt>
                  <c:pt idx="12">
                    <c:v>Business</c:v>
                  </c:pt>
                  <c:pt idx="13">
                    <c:v>Economy</c:v>
                  </c:pt>
                  <c:pt idx="14">
                    <c:v>First</c:v>
                  </c:pt>
                  <c:pt idx="15">
                    <c:v>Business</c:v>
                  </c:pt>
                  <c:pt idx="16">
                    <c:v>Economy</c:v>
                  </c:pt>
                  <c:pt idx="17">
                    <c:v>First</c:v>
                  </c:pt>
                  <c:pt idx="18">
                    <c:v>Business</c:v>
                  </c:pt>
                  <c:pt idx="19">
                    <c:v>Economy</c:v>
                  </c:pt>
                  <c:pt idx="20">
                    <c:v>First</c:v>
                  </c:pt>
                  <c:pt idx="21">
                    <c:v>Business</c:v>
                  </c:pt>
                  <c:pt idx="22">
                    <c:v>Economy</c:v>
                  </c:pt>
                  <c:pt idx="23">
                    <c:v>First</c:v>
                  </c:pt>
                </c:lvl>
                <c:lvl>
                  <c:pt idx="0">
                    <c:v>Air India</c:v>
                  </c:pt>
                  <c:pt idx="3">
                    <c:v>British Airways</c:v>
                  </c:pt>
                  <c:pt idx="6">
                    <c:v>Emirates</c:v>
                  </c:pt>
                  <c:pt idx="9">
                    <c:v>Etihad</c:v>
                  </c:pt>
                  <c:pt idx="12">
                    <c:v>Lufthansa</c:v>
                  </c:pt>
                  <c:pt idx="15">
                    <c:v>Qatar Airways</c:v>
                  </c:pt>
                  <c:pt idx="18">
                    <c:v>Singapore Airlines</c:v>
                  </c:pt>
                  <c:pt idx="21">
                    <c:v>Thai Airways</c:v>
                  </c:pt>
                </c:lvl>
              </c:multiLvlStrCache>
            </c:multiLvlStrRef>
          </c:cat>
          <c:val>
            <c:numRef>
              <c:f>'Sheet 4- Revenue Pivot'!$B$4:$B$36</c:f>
              <c:numCache>
                <c:formatCode>General</c:formatCode>
                <c:ptCount val="24"/>
                <c:pt idx="0">
                  <c:v>900480.45000000007</c:v>
                </c:pt>
                <c:pt idx="1">
                  <c:v>3718410.06</c:v>
                </c:pt>
                <c:pt idx="2">
                  <c:v>2477396.36</c:v>
                </c:pt>
                <c:pt idx="3">
                  <c:v>2022707.85</c:v>
                </c:pt>
                <c:pt idx="4">
                  <c:v>2380001.35</c:v>
                </c:pt>
                <c:pt idx="5">
                  <c:v>3463255.29</c:v>
                </c:pt>
                <c:pt idx="6">
                  <c:v>587435.69999999995</c:v>
                </c:pt>
                <c:pt idx="7">
                  <c:v>2487199.2200000002</c:v>
                </c:pt>
                <c:pt idx="8">
                  <c:v>1562497.13</c:v>
                </c:pt>
                <c:pt idx="9">
                  <c:v>2745456.4</c:v>
                </c:pt>
                <c:pt idx="10">
                  <c:v>410307.91000000003</c:v>
                </c:pt>
                <c:pt idx="11">
                  <c:v>1704340.2100000002</c:v>
                </c:pt>
                <c:pt idx="12">
                  <c:v>2690237.7300000004</c:v>
                </c:pt>
                <c:pt idx="13">
                  <c:v>2393711.64</c:v>
                </c:pt>
                <c:pt idx="14">
                  <c:v>1192351.6299999999</c:v>
                </c:pt>
                <c:pt idx="15">
                  <c:v>1703027.3999999994</c:v>
                </c:pt>
                <c:pt idx="16">
                  <c:v>2251871.79</c:v>
                </c:pt>
                <c:pt idx="17">
                  <c:v>4167469.37</c:v>
                </c:pt>
                <c:pt idx="18">
                  <c:v>728537.77</c:v>
                </c:pt>
                <c:pt idx="19">
                  <c:v>1616499.6800000002</c:v>
                </c:pt>
                <c:pt idx="20">
                  <c:v>2001939.7100000002</c:v>
                </c:pt>
                <c:pt idx="21">
                  <c:v>2107613.4400000004</c:v>
                </c:pt>
                <c:pt idx="22">
                  <c:v>2687579.6500000004</c:v>
                </c:pt>
                <c:pt idx="23">
                  <c:v>2692922.5899999994</c:v>
                </c:pt>
              </c:numCache>
            </c:numRef>
          </c:val>
          <c:extLst>
            <c:ext xmlns:c16="http://schemas.microsoft.com/office/drawing/2014/chart" uri="{C3380CC4-5D6E-409C-BE32-E72D297353CC}">
              <c16:uniqueId val="{00000000-82FD-4231-BB7C-A5075AB92665}"/>
            </c:ext>
          </c:extLst>
        </c:ser>
        <c:dLbls>
          <c:showLegendKey val="0"/>
          <c:showVal val="0"/>
          <c:showCatName val="0"/>
          <c:showSerName val="0"/>
          <c:showPercent val="0"/>
          <c:showBubbleSize val="0"/>
        </c:dLbls>
        <c:gapWidth val="219"/>
        <c:overlap val="-27"/>
        <c:axId val="667202720"/>
        <c:axId val="667200200"/>
      </c:barChart>
      <c:catAx>
        <c:axId val="66720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200200"/>
        <c:crosses val="autoZero"/>
        <c:auto val="1"/>
        <c:lblAlgn val="ctr"/>
        <c:lblOffset val="100"/>
        <c:noMultiLvlLbl val="0"/>
      </c:catAx>
      <c:valAx>
        <c:axId val="667200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202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[Advorix Data Analytics Internship_Task 3-Business Insights Report.xlsx]Sheet 4- Revenue Pivot!PivotTable6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of Each Airline across Classes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'Sheet 4- Revenue 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E0-481E-A624-4CD373A610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E0-481E-A624-4CD373A610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E0-481E-A624-4CD373A610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E0-481E-A624-4CD373A610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8E0-481E-A624-4CD373A6100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8E0-481E-A624-4CD373A6100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8E0-481E-A624-4CD373A6100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8E0-481E-A624-4CD373A6100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8E0-481E-A624-4CD373A6100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8E0-481E-A624-4CD373A6100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8E0-481E-A624-4CD373A6100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8E0-481E-A624-4CD373A6100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8E0-481E-A624-4CD373A6100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78E0-481E-A624-4CD373A6100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78E0-481E-A624-4CD373A6100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78E0-481E-A624-4CD373A6100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78E0-481E-A624-4CD373A6100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78E0-481E-A624-4CD373A6100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78E0-481E-A624-4CD373A6100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78E0-481E-A624-4CD373A6100E}"/>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78E0-481E-A624-4CD373A6100E}"/>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78E0-481E-A624-4CD373A6100E}"/>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78E0-481E-A624-4CD373A6100E}"/>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78E0-481E-A624-4CD373A6100E}"/>
              </c:ext>
            </c:extLst>
          </c:dPt>
          <c:cat>
            <c:multiLvlStrRef>
              <c:f>'Sheet 4- Revenue Pivot'!$A$4:$A$36</c:f>
              <c:multiLvlStrCache>
                <c:ptCount val="24"/>
                <c:lvl>
                  <c:pt idx="0">
                    <c:v>Business</c:v>
                  </c:pt>
                  <c:pt idx="1">
                    <c:v>Economy</c:v>
                  </c:pt>
                  <c:pt idx="2">
                    <c:v>First</c:v>
                  </c:pt>
                  <c:pt idx="3">
                    <c:v>Business</c:v>
                  </c:pt>
                  <c:pt idx="4">
                    <c:v>Economy</c:v>
                  </c:pt>
                  <c:pt idx="5">
                    <c:v>First</c:v>
                  </c:pt>
                  <c:pt idx="6">
                    <c:v>Business</c:v>
                  </c:pt>
                  <c:pt idx="7">
                    <c:v>Economy</c:v>
                  </c:pt>
                  <c:pt idx="8">
                    <c:v>First</c:v>
                  </c:pt>
                  <c:pt idx="9">
                    <c:v>Business</c:v>
                  </c:pt>
                  <c:pt idx="10">
                    <c:v>Economy</c:v>
                  </c:pt>
                  <c:pt idx="11">
                    <c:v>First</c:v>
                  </c:pt>
                  <c:pt idx="12">
                    <c:v>Business</c:v>
                  </c:pt>
                  <c:pt idx="13">
                    <c:v>Economy</c:v>
                  </c:pt>
                  <c:pt idx="14">
                    <c:v>First</c:v>
                  </c:pt>
                  <c:pt idx="15">
                    <c:v>Business</c:v>
                  </c:pt>
                  <c:pt idx="16">
                    <c:v>Economy</c:v>
                  </c:pt>
                  <c:pt idx="17">
                    <c:v>First</c:v>
                  </c:pt>
                  <c:pt idx="18">
                    <c:v>Business</c:v>
                  </c:pt>
                  <c:pt idx="19">
                    <c:v>Economy</c:v>
                  </c:pt>
                  <c:pt idx="20">
                    <c:v>First</c:v>
                  </c:pt>
                  <c:pt idx="21">
                    <c:v>Business</c:v>
                  </c:pt>
                  <c:pt idx="22">
                    <c:v>Economy</c:v>
                  </c:pt>
                  <c:pt idx="23">
                    <c:v>First</c:v>
                  </c:pt>
                </c:lvl>
                <c:lvl>
                  <c:pt idx="0">
                    <c:v>Air India</c:v>
                  </c:pt>
                  <c:pt idx="3">
                    <c:v>British Airways</c:v>
                  </c:pt>
                  <c:pt idx="6">
                    <c:v>Emirates</c:v>
                  </c:pt>
                  <c:pt idx="9">
                    <c:v>Etihad</c:v>
                  </c:pt>
                  <c:pt idx="12">
                    <c:v>Lufthansa</c:v>
                  </c:pt>
                  <c:pt idx="15">
                    <c:v>Qatar Airways</c:v>
                  </c:pt>
                  <c:pt idx="18">
                    <c:v>Singapore Airlines</c:v>
                  </c:pt>
                  <c:pt idx="21">
                    <c:v>Thai Airways</c:v>
                  </c:pt>
                </c:lvl>
              </c:multiLvlStrCache>
            </c:multiLvlStrRef>
          </c:cat>
          <c:val>
            <c:numRef>
              <c:f>'Sheet 4- Revenue Pivot'!$B$4:$B$36</c:f>
              <c:numCache>
                <c:formatCode>General</c:formatCode>
                <c:ptCount val="24"/>
                <c:pt idx="0">
                  <c:v>900480.45000000007</c:v>
                </c:pt>
                <c:pt idx="1">
                  <c:v>3718410.06</c:v>
                </c:pt>
                <c:pt idx="2">
                  <c:v>2477396.36</c:v>
                </c:pt>
                <c:pt idx="3">
                  <c:v>2022707.85</c:v>
                </c:pt>
                <c:pt idx="4">
                  <c:v>2380001.35</c:v>
                </c:pt>
                <c:pt idx="5">
                  <c:v>3463255.29</c:v>
                </c:pt>
                <c:pt idx="6">
                  <c:v>587435.69999999995</c:v>
                </c:pt>
                <c:pt idx="7">
                  <c:v>2487199.2200000002</c:v>
                </c:pt>
                <c:pt idx="8">
                  <c:v>1562497.13</c:v>
                </c:pt>
                <c:pt idx="9">
                  <c:v>2745456.4</c:v>
                </c:pt>
                <c:pt idx="10">
                  <c:v>410307.91000000003</c:v>
                </c:pt>
                <c:pt idx="11">
                  <c:v>1704340.2100000002</c:v>
                </c:pt>
                <c:pt idx="12">
                  <c:v>2690237.7300000004</c:v>
                </c:pt>
                <c:pt idx="13">
                  <c:v>2393711.64</c:v>
                </c:pt>
                <c:pt idx="14">
                  <c:v>1192351.6299999999</c:v>
                </c:pt>
                <c:pt idx="15">
                  <c:v>1703027.3999999994</c:v>
                </c:pt>
                <c:pt idx="16">
                  <c:v>2251871.79</c:v>
                </c:pt>
                <c:pt idx="17">
                  <c:v>4167469.37</c:v>
                </c:pt>
                <c:pt idx="18">
                  <c:v>728537.77</c:v>
                </c:pt>
                <c:pt idx="19">
                  <c:v>1616499.6800000002</c:v>
                </c:pt>
                <c:pt idx="20">
                  <c:v>2001939.7100000002</c:v>
                </c:pt>
                <c:pt idx="21">
                  <c:v>2107613.4400000004</c:v>
                </c:pt>
                <c:pt idx="22">
                  <c:v>2687579.6500000004</c:v>
                </c:pt>
                <c:pt idx="23">
                  <c:v>2692922.5899999994</c:v>
                </c:pt>
              </c:numCache>
            </c:numRef>
          </c:val>
          <c:extLst>
            <c:ext xmlns:c16="http://schemas.microsoft.com/office/drawing/2014/chart" uri="{C3380CC4-5D6E-409C-BE32-E72D297353CC}">
              <c16:uniqueId val="{00000000-CB6D-4524-B29F-F39F926AE6E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'Sheet13- Comparison by Classes'!$C$1</c:f>
              <c:strCache>
                <c:ptCount val="1"/>
                <c:pt idx="0">
                  <c:v>Total Sales</c:v>
                </c:pt>
              </c:strCache>
            </c:strRef>
          </c:tx>
          <c:spPr>
            <a:solidFill>
              <a:schemeClr val="accent1"/>
            </a:solidFill>
            <a:ln>
              <a:noFill/>
            </a:ln>
            <a:effectLst/>
          </c:spPr>
          <c:invertIfNegative val="0"/>
          <c:cat>
            <c:multiLvlStrRef>
              <c:f>'Sheet13- Comparison by Classes'!$A$2:$B$33</c:f>
              <c:multiLvlStrCache>
                <c:ptCount val="32"/>
                <c:lvl>
                  <c:pt idx="1">
                    <c:v>Business</c:v>
                  </c:pt>
                  <c:pt idx="2">
                    <c:v>Economy </c:v>
                  </c:pt>
                  <c:pt idx="3">
                    <c:v>First </c:v>
                  </c:pt>
                  <c:pt idx="5">
                    <c:v>Business</c:v>
                  </c:pt>
                  <c:pt idx="6">
                    <c:v>Economy </c:v>
                  </c:pt>
                  <c:pt idx="7">
                    <c:v>First </c:v>
                  </c:pt>
                  <c:pt idx="9">
                    <c:v>Business</c:v>
                  </c:pt>
                  <c:pt idx="10">
                    <c:v>Economy </c:v>
                  </c:pt>
                  <c:pt idx="11">
                    <c:v>First </c:v>
                  </c:pt>
                  <c:pt idx="13">
                    <c:v>Business</c:v>
                  </c:pt>
                  <c:pt idx="14">
                    <c:v>Economy </c:v>
                  </c:pt>
                  <c:pt idx="15">
                    <c:v>First </c:v>
                  </c:pt>
                  <c:pt idx="17">
                    <c:v>Business</c:v>
                  </c:pt>
                  <c:pt idx="18">
                    <c:v>Economy </c:v>
                  </c:pt>
                  <c:pt idx="19">
                    <c:v>First </c:v>
                  </c:pt>
                  <c:pt idx="21">
                    <c:v>Business</c:v>
                  </c:pt>
                  <c:pt idx="22">
                    <c:v>Economy </c:v>
                  </c:pt>
                  <c:pt idx="23">
                    <c:v>First </c:v>
                  </c:pt>
                  <c:pt idx="25">
                    <c:v>Business</c:v>
                  </c:pt>
                  <c:pt idx="26">
                    <c:v>Economy </c:v>
                  </c:pt>
                  <c:pt idx="27">
                    <c:v>First </c:v>
                  </c:pt>
                  <c:pt idx="29">
                    <c:v>Business</c:v>
                  </c:pt>
                  <c:pt idx="30">
                    <c:v>Economy </c:v>
                  </c:pt>
                  <c:pt idx="31">
                    <c:v>First </c:v>
                  </c:pt>
                </c:lvl>
                <c:lvl>
                  <c:pt idx="1">
                    <c:v>Air India </c:v>
                  </c:pt>
                  <c:pt idx="5">
                    <c:v>British Airways </c:v>
                  </c:pt>
                  <c:pt idx="9">
                    <c:v>Emirates </c:v>
                  </c:pt>
                  <c:pt idx="13">
                    <c:v>Etihad</c:v>
                  </c:pt>
                  <c:pt idx="17">
                    <c:v>Lufthansa</c:v>
                  </c:pt>
                  <c:pt idx="21">
                    <c:v>Qatar Airways </c:v>
                  </c:pt>
                  <c:pt idx="25">
                    <c:v>Singapore Airlines</c:v>
                  </c:pt>
                  <c:pt idx="29">
                    <c:v>Thai Airways </c:v>
                  </c:pt>
                </c:lvl>
              </c:multiLvlStrCache>
            </c:multiLvlStrRef>
          </c:cat>
          <c:val>
            <c:numRef>
              <c:f>'Sheet13- Comparison by Classes'!$C$2:$C$33</c:f>
              <c:numCache>
                <c:formatCode>General</c:formatCode>
                <c:ptCount val="32"/>
                <c:pt idx="1">
                  <c:v>727</c:v>
                </c:pt>
                <c:pt idx="2">
                  <c:v>1450</c:v>
                </c:pt>
                <c:pt idx="3">
                  <c:v>1257</c:v>
                </c:pt>
                <c:pt idx="5">
                  <c:v>871</c:v>
                </c:pt>
                <c:pt idx="6">
                  <c:v>1530</c:v>
                </c:pt>
                <c:pt idx="7">
                  <c:v>1323</c:v>
                </c:pt>
                <c:pt idx="9">
                  <c:v>520</c:v>
                </c:pt>
                <c:pt idx="10">
                  <c:v>1529</c:v>
                </c:pt>
                <c:pt idx="11">
                  <c:v>1011</c:v>
                </c:pt>
                <c:pt idx="13">
                  <c:v>1418</c:v>
                </c:pt>
                <c:pt idx="14">
                  <c:v>394</c:v>
                </c:pt>
                <c:pt idx="15">
                  <c:v>638</c:v>
                </c:pt>
                <c:pt idx="17">
                  <c:v>1000</c:v>
                </c:pt>
                <c:pt idx="18">
                  <c:v>1221</c:v>
                </c:pt>
                <c:pt idx="19">
                  <c:v>676</c:v>
                </c:pt>
                <c:pt idx="21">
                  <c:v>1027</c:v>
                </c:pt>
                <c:pt idx="22">
                  <c:v>817</c:v>
                </c:pt>
                <c:pt idx="23">
                  <c:v>1500</c:v>
                </c:pt>
                <c:pt idx="25">
                  <c:v>877</c:v>
                </c:pt>
                <c:pt idx="26">
                  <c:v>1165</c:v>
                </c:pt>
                <c:pt idx="27">
                  <c:v>863</c:v>
                </c:pt>
                <c:pt idx="29">
                  <c:v>1014</c:v>
                </c:pt>
                <c:pt idx="30">
                  <c:v>1073</c:v>
                </c:pt>
                <c:pt idx="31">
                  <c:v>1244</c:v>
                </c:pt>
              </c:numCache>
            </c:numRef>
          </c:val>
          <c:extLst>
            <c:ext xmlns:c16="http://schemas.microsoft.com/office/drawing/2014/chart" uri="{C3380CC4-5D6E-409C-BE32-E72D297353CC}">
              <c16:uniqueId val="{00000000-BED6-4A6F-AA3A-26C4B637AA30}"/>
            </c:ext>
          </c:extLst>
        </c:ser>
        <c:ser>
          <c:idx val="1"/>
          <c:order val="1"/>
          <c:tx>
            <c:strRef>
              <c:f>'Sheet13- Comparison by Classes'!$D$1</c:f>
              <c:strCache>
                <c:ptCount val="1"/>
                <c:pt idx="0">
                  <c:v>Total Revenue</c:v>
                </c:pt>
              </c:strCache>
            </c:strRef>
          </c:tx>
          <c:spPr>
            <a:solidFill>
              <a:schemeClr val="accent2"/>
            </a:solidFill>
            <a:ln>
              <a:noFill/>
            </a:ln>
            <a:effectLst/>
          </c:spPr>
          <c:invertIfNegative val="0"/>
          <c:cat>
            <c:multiLvlStrRef>
              <c:f>'Sheet13- Comparison by Classes'!$A$2:$B$33</c:f>
              <c:multiLvlStrCache>
                <c:ptCount val="32"/>
                <c:lvl>
                  <c:pt idx="1">
                    <c:v>Business</c:v>
                  </c:pt>
                  <c:pt idx="2">
                    <c:v>Economy </c:v>
                  </c:pt>
                  <c:pt idx="3">
                    <c:v>First </c:v>
                  </c:pt>
                  <c:pt idx="5">
                    <c:v>Business</c:v>
                  </c:pt>
                  <c:pt idx="6">
                    <c:v>Economy </c:v>
                  </c:pt>
                  <c:pt idx="7">
                    <c:v>First </c:v>
                  </c:pt>
                  <c:pt idx="9">
                    <c:v>Business</c:v>
                  </c:pt>
                  <c:pt idx="10">
                    <c:v>Economy </c:v>
                  </c:pt>
                  <c:pt idx="11">
                    <c:v>First </c:v>
                  </c:pt>
                  <c:pt idx="13">
                    <c:v>Business</c:v>
                  </c:pt>
                  <c:pt idx="14">
                    <c:v>Economy </c:v>
                  </c:pt>
                  <c:pt idx="15">
                    <c:v>First </c:v>
                  </c:pt>
                  <c:pt idx="17">
                    <c:v>Business</c:v>
                  </c:pt>
                  <c:pt idx="18">
                    <c:v>Economy </c:v>
                  </c:pt>
                  <c:pt idx="19">
                    <c:v>First </c:v>
                  </c:pt>
                  <c:pt idx="21">
                    <c:v>Business</c:v>
                  </c:pt>
                  <c:pt idx="22">
                    <c:v>Economy </c:v>
                  </c:pt>
                  <c:pt idx="23">
                    <c:v>First </c:v>
                  </c:pt>
                  <c:pt idx="25">
                    <c:v>Business</c:v>
                  </c:pt>
                  <c:pt idx="26">
                    <c:v>Economy </c:v>
                  </c:pt>
                  <c:pt idx="27">
                    <c:v>First </c:v>
                  </c:pt>
                  <c:pt idx="29">
                    <c:v>Business</c:v>
                  </c:pt>
                  <c:pt idx="30">
                    <c:v>Economy </c:v>
                  </c:pt>
                  <c:pt idx="31">
                    <c:v>First </c:v>
                  </c:pt>
                </c:lvl>
                <c:lvl>
                  <c:pt idx="1">
                    <c:v>Air India </c:v>
                  </c:pt>
                  <c:pt idx="5">
                    <c:v>British Airways </c:v>
                  </c:pt>
                  <c:pt idx="9">
                    <c:v>Emirates </c:v>
                  </c:pt>
                  <c:pt idx="13">
                    <c:v>Etihad</c:v>
                  </c:pt>
                  <c:pt idx="17">
                    <c:v>Lufthansa</c:v>
                  </c:pt>
                  <c:pt idx="21">
                    <c:v>Qatar Airways </c:v>
                  </c:pt>
                  <c:pt idx="25">
                    <c:v>Singapore Airlines</c:v>
                  </c:pt>
                  <c:pt idx="29">
                    <c:v>Thai Airways </c:v>
                  </c:pt>
                </c:lvl>
              </c:multiLvlStrCache>
            </c:multiLvlStrRef>
          </c:cat>
          <c:val>
            <c:numRef>
              <c:f>'Sheet13- Comparison by Classes'!$D$2:$D$33</c:f>
              <c:numCache>
                <c:formatCode>General</c:formatCode>
                <c:ptCount val="32"/>
                <c:pt idx="1">
                  <c:v>900480.45</c:v>
                </c:pt>
                <c:pt idx="2">
                  <c:v>3718410.06</c:v>
                </c:pt>
                <c:pt idx="3">
                  <c:v>2477396.36</c:v>
                </c:pt>
                <c:pt idx="5">
                  <c:v>2022707.85</c:v>
                </c:pt>
                <c:pt idx="6">
                  <c:v>2380001.35</c:v>
                </c:pt>
                <c:pt idx="7">
                  <c:v>3463255.29</c:v>
                </c:pt>
                <c:pt idx="9">
                  <c:v>587435.69999999995</c:v>
                </c:pt>
                <c:pt idx="10">
                  <c:v>2487199.2200000002</c:v>
                </c:pt>
                <c:pt idx="11">
                  <c:v>1562497.13</c:v>
                </c:pt>
                <c:pt idx="13">
                  <c:v>2745456.4</c:v>
                </c:pt>
                <c:pt idx="14">
                  <c:v>410307.91000000003</c:v>
                </c:pt>
                <c:pt idx="15">
                  <c:v>1704340.2100000002</c:v>
                </c:pt>
                <c:pt idx="17">
                  <c:v>2690237.7300000004</c:v>
                </c:pt>
                <c:pt idx="18">
                  <c:v>2393711.64</c:v>
                </c:pt>
                <c:pt idx="19">
                  <c:v>1192351.6299999999</c:v>
                </c:pt>
                <c:pt idx="21">
                  <c:v>1703027.3999999994</c:v>
                </c:pt>
                <c:pt idx="22">
                  <c:v>2251871.79</c:v>
                </c:pt>
                <c:pt idx="23">
                  <c:v>4167469.37</c:v>
                </c:pt>
                <c:pt idx="25">
                  <c:v>728537.77</c:v>
                </c:pt>
                <c:pt idx="26">
                  <c:v>1616499.6800000002</c:v>
                </c:pt>
                <c:pt idx="27">
                  <c:v>2001939.7100000002</c:v>
                </c:pt>
                <c:pt idx="29">
                  <c:v>2107613.4400000004</c:v>
                </c:pt>
                <c:pt idx="30">
                  <c:v>2687579.6500000004</c:v>
                </c:pt>
                <c:pt idx="31">
                  <c:v>2692922.5899999994</c:v>
                </c:pt>
              </c:numCache>
            </c:numRef>
          </c:val>
          <c:extLst>
            <c:ext xmlns:c16="http://schemas.microsoft.com/office/drawing/2014/chart" uri="{C3380CC4-5D6E-409C-BE32-E72D297353CC}">
              <c16:uniqueId val="{00000001-BED6-4A6F-AA3A-26C4B637AA30}"/>
            </c:ext>
          </c:extLst>
        </c:ser>
        <c:dLbls>
          <c:showLegendKey val="0"/>
          <c:showVal val="0"/>
          <c:showCatName val="0"/>
          <c:showSerName val="0"/>
          <c:showPercent val="0"/>
          <c:showBubbleSize val="0"/>
        </c:dLbls>
        <c:gapWidth val="219"/>
        <c:overlap val="-27"/>
        <c:axId val="900782712"/>
        <c:axId val="900781992"/>
      </c:barChart>
      <c:catAx>
        <c:axId val="900782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81992"/>
        <c:crosses val="autoZero"/>
        <c:auto val="1"/>
        <c:lblAlgn val="ctr"/>
        <c:lblOffset val="100"/>
        <c:noMultiLvlLbl val="0"/>
      </c:catAx>
      <c:valAx>
        <c:axId val="900781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82712"/>
        <c:crosses val="autoZero"/>
        <c:crossBetween val="between"/>
      </c:valAx>
      <c:spPr>
        <a:noFill/>
        <a:ln>
          <a:noFill/>
        </a:ln>
        <a:effectLst/>
      </c:spPr>
    </c:plotArea>
    <c:legend>
      <c:legendPos val="b"/>
      <c:legendEntry>
        <c:idx val="0"/>
        <c:delete val="1"/>
      </c:legendEntry>
      <c:layout>
        <c:manualLayout>
          <c:xMode val="edge"/>
          <c:yMode val="edge"/>
          <c:x val="0.34230093487292562"/>
          <c:y val="0.89409667541557303"/>
          <c:w val="0.3059474527447521"/>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'Sheet13- Comparison by Classes'!$C$1</c:f>
              <c:strCache>
                <c:ptCount val="1"/>
                <c:pt idx="0">
                  <c:v>Total Sales</c:v>
                </c:pt>
              </c:strCache>
            </c:strRef>
          </c:tx>
          <c:spPr>
            <a:solidFill>
              <a:schemeClr val="accent1"/>
            </a:solidFill>
            <a:ln>
              <a:noFill/>
            </a:ln>
            <a:effectLst/>
          </c:spPr>
          <c:invertIfNegative val="0"/>
          <c:cat>
            <c:multiLvlStrRef>
              <c:f>'Sheet13- Comparison by Classes'!$A$2:$B$33</c:f>
              <c:multiLvlStrCache>
                <c:ptCount val="32"/>
                <c:lvl>
                  <c:pt idx="1">
                    <c:v>Business</c:v>
                  </c:pt>
                  <c:pt idx="2">
                    <c:v>Economy </c:v>
                  </c:pt>
                  <c:pt idx="3">
                    <c:v>First </c:v>
                  </c:pt>
                  <c:pt idx="5">
                    <c:v>Business</c:v>
                  </c:pt>
                  <c:pt idx="6">
                    <c:v>Economy </c:v>
                  </c:pt>
                  <c:pt idx="7">
                    <c:v>First </c:v>
                  </c:pt>
                  <c:pt idx="9">
                    <c:v>Business</c:v>
                  </c:pt>
                  <c:pt idx="10">
                    <c:v>Economy </c:v>
                  </c:pt>
                  <c:pt idx="11">
                    <c:v>First </c:v>
                  </c:pt>
                  <c:pt idx="13">
                    <c:v>Business</c:v>
                  </c:pt>
                  <c:pt idx="14">
                    <c:v>Economy </c:v>
                  </c:pt>
                  <c:pt idx="15">
                    <c:v>First </c:v>
                  </c:pt>
                  <c:pt idx="17">
                    <c:v>Business</c:v>
                  </c:pt>
                  <c:pt idx="18">
                    <c:v>Economy </c:v>
                  </c:pt>
                  <c:pt idx="19">
                    <c:v>First </c:v>
                  </c:pt>
                  <c:pt idx="21">
                    <c:v>Business</c:v>
                  </c:pt>
                  <c:pt idx="22">
                    <c:v>Economy </c:v>
                  </c:pt>
                  <c:pt idx="23">
                    <c:v>First </c:v>
                  </c:pt>
                  <c:pt idx="25">
                    <c:v>Business</c:v>
                  </c:pt>
                  <c:pt idx="26">
                    <c:v>Economy </c:v>
                  </c:pt>
                  <c:pt idx="27">
                    <c:v>First </c:v>
                  </c:pt>
                  <c:pt idx="29">
                    <c:v>Business</c:v>
                  </c:pt>
                  <c:pt idx="30">
                    <c:v>Economy </c:v>
                  </c:pt>
                  <c:pt idx="31">
                    <c:v>First </c:v>
                  </c:pt>
                </c:lvl>
                <c:lvl>
                  <c:pt idx="1">
                    <c:v>Air India </c:v>
                  </c:pt>
                  <c:pt idx="5">
                    <c:v>British Airways </c:v>
                  </c:pt>
                  <c:pt idx="9">
                    <c:v>Emirates </c:v>
                  </c:pt>
                  <c:pt idx="13">
                    <c:v>Etihad</c:v>
                  </c:pt>
                  <c:pt idx="17">
                    <c:v>Lufthansa</c:v>
                  </c:pt>
                  <c:pt idx="21">
                    <c:v>Qatar Airways </c:v>
                  </c:pt>
                  <c:pt idx="25">
                    <c:v>Singapore Airlines</c:v>
                  </c:pt>
                  <c:pt idx="29">
                    <c:v>Thai Airways </c:v>
                  </c:pt>
                </c:lvl>
              </c:multiLvlStrCache>
            </c:multiLvlStrRef>
          </c:cat>
          <c:val>
            <c:numRef>
              <c:f>'Sheet13- Comparison by Classes'!$C$2:$C$33</c:f>
              <c:numCache>
                <c:formatCode>General</c:formatCode>
                <c:ptCount val="32"/>
                <c:pt idx="1">
                  <c:v>727</c:v>
                </c:pt>
                <c:pt idx="2">
                  <c:v>1450</c:v>
                </c:pt>
                <c:pt idx="3">
                  <c:v>1257</c:v>
                </c:pt>
                <c:pt idx="5">
                  <c:v>871</c:v>
                </c:pt>
                <c:pt idx="6">
                  <c:v>1530</c:v>
                </c:pt>
                <c:pt idx="7">
                  <c:v>1323</c:v>
                </c:pt>
                <c:pt idx="9">
                  <c:v>520</c:v>
                </c:pt>
                <c:pt idx="10">
                  <c:v>1529</c:v>
                </c:pt>
                <c:pt idx="11">
                  <c:v>1011</c:v>
                </c:pt>
                <c:pt idx="13">
                  <c:v>1418</c:v>
                </c:pt>
                <c:pt idx="14">
                  <c:v>394</c:v>
                </c:pt>
                <c:pt idx="15">
                  <c:v>638</c:v>
                </c:pt>
                <c:pt idx="17">
                  <c:v>1000</c:v>
                </c:pt>
                <c:pt idx="18">
                  <c:v>1221</c:v>
                </c:pt>
                <c:pt idx="19">
                  <c:v>676</c:v>
                </c:pt>
                <c:pt idx="21">
                  <c:v>1027</c:v>
                </c:pt>
                <c:pt idx="22">
                  <c:v>817</c:v>
                </c:pt>
                <c:pt idx="23">
                  <c:v>1500</c:v>
                </c:pt>
                <c:pt idx="25">
                  <c:v>877</c:v>
                </c:pt>
                <c:pt idx="26">
                  <c:v>1165</c:v>
                </c:pt>
                <c:pt idx="27">
                  <c:v>863</c:v>
                </c:pt>
                <c:pt idx="29">
                  <c:v>1014</c:v>
                </c:pt>
                <c:pt idx="30">
                  <c:v>1073</c:v>
                </c:pt>
                <c:pt idx="31">
                  <c:v>1244</c:v>
                </c:pt>
              </c:numCache>
            </c:numRef>
          </c:val>
          <c:extLst>
            <c:ext xmlns:c16="http://schemas.microsoft.com/office/drawing/2014/chart" uri="{C3380CC4-5D6E-409C-BE32-E72D297353CC}">
              <c16:uniqueId val="{00000000-A063-4487-AD95-C75B3F423751}"/>
            </c:ext>
          </c:extLst>
        </c:ser>
        <c:dLbls>
          <c:showLegendKey val="0"/>
          <c:showVal val="0"/>
          <c:showCatName val="0"/>
          <c:showSerName val="0"/>
          <c:showPercent val="0"/>
          <c:showBubbleSize val="0"/>
        </c:dLbls>
        <c:gapWidth val="219"/>
        <c:overlap val="-27"/>
        <c:axId val="666082584"/>
        <c:axId val="666082944"/>
        <c:extLst>
          <c:ext xmlns:c15="http://schemas.microsoft.com/office/drawing/2012/chart" uri="{02D57815-91ED-43cb-92C2-25804820EDAC}">
            <c15:filteredBarSeries>
              <c15:ser>
                <c:idx val="1"/>
                <c:order val="1"/>
                <c:tx>
                  <c:strRef>
                    <c:extLst>
                      <c:ext uri="{02D57815-91ED-43cb-92C2-25804820EDAC}">
                        <c15:formulaRef>
                          <c15:sqref>'Sheet13- Comparison by Classes'!$D$1</c15:sqref>
                        </c15:formulaRef>
                      </c:ext>
                    </c:extLst>
                    <c:strCache>
                      <c:ptCount val="1"/>
                      <c:pt idx="0">
                        <c:v>Total Revenue</c:v>
                      </c:pt>
                    </c:strCache>
                  </c:strRef>
                </c:tx>
                <c:spPr>
                  <a:solidFill>
                    <a:schemeClr val="accent2"/>
                  </a:solidFill>
                  <a:ln>
                    <a:noFill/>
                  </a:ln>
                  <a:effectLst/>
                </c:spPr>
                <c:invertIfNegative val="0"/>
                <c:cat>
                  <c:multiLvlStrRef>
                    <c:extLst>
                      <c:ext uri="{02D57815-91ED-43cb-92C2-25804820EDAC}">
                        <c15:formulaRef>
                          <c15:sqref>'Sheet13- Comparison by Classes'!$A$2:$B$33</c15:sqref>
                        </c15:formulaRef>
                      </c:ext>
                    </c:extLst>
                    <c:multiLvlStrCache>
                      <c:ptCount val="32"/>
                      <c:lvl>
                        <c:pt idx="1">
                          <c:v>Business</c:v>
                        </c:pt>
                        <c:pt idx="2">
                          <c:v>Economy </c:v>
                        </c:pt>
                        <c:pt idx="3">
                          <c:v>First </c:v>
                        </c:pt>
                        <c:pt idx="5">
                          <c:v>Business</c:v>
                        </c:pt>
                        <c:pt idx="6">
                          <c:v>Economy </c:v>
                        </c:pt>
                        <c:pt idx="7">
                          <c:v>First </c:v>
                        </c:pt>
                        <c:pt idx="9">
                          <c:v>Business</c:v>
                        </c:pt>
                        <c:pt idx="10">
                          <c:v>Economy </c:v>
                        </c:pt>
                        <c:pt idx="11">
                          <c:v>First </c:v>
                        </c:pt>
                        <c:pt idx="13">
                          <c:v>Business</c:v>
                        </c:pt>
                        <c:pt idx="14">
                          <c:v>Economy </c:v>
                        </c:pt>
                        <c:pt idx="15">
                          <c:v>First </c:v>
                        </c:pt>
                        <c:pt idx="17">
                          <c:v>Business</c:v>
                        </c:pt>
                        <c:pt idx="18">
                          <c:v>Economy </c:v>
                        </c:pt>
                        <c:pt idx="19">
                          <c:v>First </c:v>
                        </c:pt>
                        <c:pt idx="21">
                          <c:v>Business</c:v>
                        </c:pt>
                        <c:pt idx="22">
                          <c:v>Economy </c:v>
                        </c:pt>
                        <c:pt idx="23">
                          <c:v>First </c:v>
                        </c:pt>
                        <c:pt idx="25">
                          <c:v>Business</c:v>
                        </c:pt>
                        <c:pt idx="26">
                          <c:v>Economy </c:v>
                        </c:pt>
                        <c:pt idx="27">
                          <c:v>First </c:v>
                        </c:pt>
                        <c:pt idx="29">
                          <c:v>Business</c:v>
                        </c:pt>
                        <c:pt idx="30">
                          <c:v>Economy </c:v>
                        </c:pt>
                        <c:pt idx="31">
                          <c:v>First </c:v>
                        </c:pt>
                      </c:lvl>
                      <c:lvl>
                        <c:pt idx="1">
                          <c:v>Air India </c:v>
                        </c:pt>
                        <c:pt idx="5">
                          <c:v>British Airways </c:v>
                        </c:pt>
                        <c:pt idx="9">
                          <c:v>Emirates </c:v>
                        </c:pt>
                        <c:pt idx="13">
                          <c:v>Etihad</c:v>
                        </c:pt>
                        <c:pt idx="17">
                          <c:v>Lufthansa</c:v>
                        </c:pt>
                        <c:pt idx="21">
                          <c:v>Qatar Airways </c:v>
                        </c:pt>
                        <c:pt idx="25">
                          <c:v>Singapore Airlines</c:v>
                        </c:pt>
                        <c:pt idx="29">
                          <c:v>Thai Airways </c:v>
                        </c:pt>
                      </c:lvl>
                    </c:multiLvlStrCache>
                  </c:multiLvlStrRef>
                </c:cat>
                <c:val>
                  <c:numRef>
                    <c:extLst>
                      <c:ext uri="{02D57815-91ED-43cb-92C2-25804820EDAC}">
                        <c15:formulaRef>
                          <c15:sqref>'Sheet13- Comparison by Classes'!$D$2:$D$33</c15:sqref>
                        </c15:formulaRef>
                      </c:ext>
                    </c:extLst>
                    <c:numCache>
                      <c:formatCode>General</c:formatCode>
                      <c:ptCount val="32"/>
                      <c:pt idx="1">
                        <c:v>900480.45</c:v>
                      </c:pt>
                      <c:pt idx="2">
                        <c:v>3718410.06</c:v>
                      </c:pt>
                      <c:pt idx="3">
                        <c:v>2477396.36</c:v>
                      </c:pt>
                      <c:pt idx="5">
                        <c:v>2022707.85</c:v>
                      </c:pt>
                      <c:pt idx="6">
                        <c:v>2380001.35</c:v>
                      </c:pt>
                      <c:pt idx="7">
                        <c:v>3463255.29</c:v>
                      </c:pt>
                      <c:pt idx="9">
                        <c:v>587435.69999999995</c:v>
                      </c:pt>
                      <c:pt idx="10">
                        <c:v>2487199.2200000002</c:v>
                      </c:pt>
                      <c:pt idx="11">
                        <c:v>1562497.13</c:v>
                      </c:pt>
                      <c:pt idx="13">
                        <c:v>2745456.4</c:v>
                      </c:pt>
                      <c:pt idx="14">
                        <c:v>410307.91000000003</c:v>
                      </c:pt>
                      <c:pt idx="15">
                        <c:v>1704340.2100000002</c:v>
                      </c:pt>
                      <c:pt idx="17">
                        <c:v>2690237.7300000004</c:v>
                      </c:pt>
                      <c:pt idx="18">
                        <c:v>2393711.64</c:v>
                      </c:pt>
                      <c:pt idx="19">
                        <c:v>1192351.6299999999</c:v>
                      </c:pt>
                      <c:pt idx="21">
                        <c:v>1703027.3999999994</c:v>
                      </c:pt>
                      <c:pt idx="22">
                        <c:v>2251871.79</c:v>
                      </c:pt>
                      <c:pt idx="23">
                        <c:v>4167469.37</c:v>
                      </c:pt>
                      <c:pt idx="25">
                        <c:v>728537.77</c:v>
                      </c:pt>
                      <c:pt idx="26">
                        <c:v>1616499.6800000002</c:v>
                      </c:pt>
                      <c:pt idx="27">
                        <c:v>2001939.7100000002</c:v>
                      </c:pt>
                      <c:pt idx="29">
                        <c:v>2107613.4400000004</c:v>
                      </c:pt>
                      <c:pt idx="30">
                        <c:v>2687579.6500000004</c:v>
                      </c:pt>
                      <c:pt idx="31">
                        <c:v>2692922.5899999994</c:v>
                      </c:pt>
                    </c:numCache>
                  </c:numRef>
                </c:val>
                <c:extLst>
                  <c:ext xmlns:c16="http://schemas.microsoft.com/office/drawing/2014/chart" uri="{C3380CC4-5D6E-409C-BE32-E72D297353CC}">
                    <c16:uniqueId val="{00000001-A063-4487-AD95-C75B3F423751}"/>
                  </c:ext>
                </c:extLst>
              </c15:ser>
            </c15:filteredBarSeries>
          </c:ext>
        </c:extLst>
      </c:barChart>
      <c:catAx>
        <c:axId val="666082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082944"/>
        <c:crosses val="autoZero"/>
        <c:auto val="1"/>
        <c:lblAlgn val="ctr"/>
        <c:lblOffset val="100"/>
        <c:noMultiLvlLbl val="0"/>
      </c:catAx>
      <c:valAx>
        <c:axId val="66608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082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 14- Overall Comparison'!$B$1</c:f>
              <c:strCache>
                <c:ptCount val="1"/>
                <c:pt idx="0">
                  <c:v>Total Sales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14- Overall Comparison'!$A$2:$A$17</c:f>
              <c:strCache>
                <c:ptCount val="16"/>
                <c:pt idx="1">
                  <c:v>Air India</c:v>
                </c:pt>
                <c:pt idx="3">
                  <c:v>British Airways </c:v>
                </c:pt>
                <c:pt idx="5">
                  <c:v>Emirates </c:v>
                </c:pt>
                <c:pt idx="7">
                  <c:v>Etihad</c:v>
                </c:pt>
                <c:pt idx="9">
                  <c:v>Lufthansa</c:v>
                </c:pt>
                <c:pt idx="11">
                  <c:v>Qatar Airways </c:v>
                </c:pt>
                <c:pt idx="13">
                  <c:v>Singapore Airlines</c:v>
                </c:pt>
                <c:pt idx="15">
                  <c:v>Thai Airways </c:v>
                </c:pt>
              </c:strCache>
            </c:strRef>
          </c:cat>
          <c:val>
            <c:numRef>
              <c:f>'Sheet 14- Overall Comparison'!$B$2:$B$17</c:f>
              <c:numCache>
                <c:formatCode>General</c:formatCode>
                <c:ptCount val="16"/>
                <c:pt idx="1">
                  <c:v>3434</c:v>
                </c:pt>
                <c:pt idx="3">
                  <c:v>3724</c:v>
                </c:pt>
                <c:pt idx="5">
                  <c:v>3060</c:v>
                </c:pt>
                <c:pt idx="7">
                  <c:v>2450</c:v>
                </c:pt>
                <c:pt idx="9">
                  <c:v>2897</c:v>
                </c:pt>
                <c:pt idx="11">
                  <c:v>3344</c:v>
                </c:pt>
                <c:pt idx="13">
                  <c:v>2905</c:v>
                </c:pt>
                <c:pt idx="15">
                  <c:v>3331</c:v>
                </c:pt>
              </c:numCache>
            </c:numRef>
          </c:val>
          <c:extLst>
            <c:ext xmlns:c16="http://schemas.microsoft.com/office/drawing/2014/chart" uri="{C3380CC4-5D6E-409C-BE32-E72D297353CC}">
              <c16:uniqueId val="{00000000-A5B7-475F-88DA-37A1FCB13826}"/>
            </c:ext>
          </c:extLst>
        </c:ser>
        <c:dLbls>
          <c:dLblPos val="outEnd"/>
          <c:showLegendKey val="0"/>
          <c:showVal val="1"/>
          <c:showCatName val="0"/>
          <c:showSerName val="0"/>
          <c:showPercent val="0"/>
          <c:showBubbleSize val="0"/>
        </c:dLbls>
        <c:gapWidth val="444"/>
        <c:overlap val="-90"/>
        <c:axId val="664005984"/>
        <c:axId val="664007784"/>
      </c:barChart>
      <c:catAx>
        <c:axId val="664005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664007784"/>
        <c:crosses val="autoZero"/>
        <c:auto val="1"/>
        <c:lblAlgn val="ctr"/>
        <c:lblOffset val="100"/>
        <c:noMultiLvlLbl val="0"/>
      </c:catAx>
      <c:valAx>
        <c:axId val="664007784"/>
        <c:scaling>
          <c:orientation val="minMax"/>
        </c:scaling>
        <c:delete val="1"/>
        <c:axPos val="l"/>
        <c:numFmt formatCode="General" sourceLinked="1"/>
        <c:majorTickMark val="none"/>
        <c:minorTickMark val="none"/>
        <c:tickLblPos val="nextTo"/>
        <c:crossAx val="66400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'Sheet 14- Overall Comparison'!$C$1</c:f>
              <c:strCache>
                <c:ptCount val="1"/>
                <c:pt idx="0">
                  <c:v>Total Revenue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 14- Overall Comparison'!$A$2:$A$17</c:f>
              <c:strCache>
                <c:ptCount val="16"/>
                <c:pt idx="1">
                  <c:v>Air India</c:v>
                </c:pt>
                <c:pt idx="3">
                  <c:v>British Airways </c:v>
                </c:pt>
                <c:pt idx="5">
                  <c:v>Emirates </c:v>
                </c:pt>
                <c:pt idx="7">
                  <c:v>Etihad</c:v>
                </c:pt>
                <c:pt idx="9">
                  <c:v>Lufthansa</c:v>
                </c:pt>
                <c:pt idx="11">
                  <c:v>Qatar Airways </c:v>
                </c:pt>
                <c:pt idx="13">
                  <c:v>Singapore Airlines</c:v>
                </c:pt>
                <c:pt idx="15">
                  <c:v>Thai Airways </c:v>
                </c:pt>
              </c:strCache>
            </c:strRef>
          </c:cat>
          <c:val>
            <c:numRef>
              <c:f>'Sheet 14- Overall Comparison'!$C$2:$C$17</c:f>
              <c:numCache>
                <c:formatCode>General</c:formatCode>
                <c:ptCount val="16"/>
                <c:pt idx="1">
                  <c:v>7096286.8699999992</c:v>
                </c:pt>
                <c:pt idx="3">
                  <c:v>7865964.4900000002</c:v>
                </c:pt>
                <c:pt idx="5">
                  <c:v>4637132.05</c:v>
                </c:pt>
                <c:pt idx="7">
                  <c:v>4860104.5200000005</c:v>
                </c:pt>
                <c:pt idx="9">
                  <c:v>6276301.0000000009</c:v>
                </c:pt>
                <c:pt idx="11">
                  <c:v>8122368.5599999996</c:v>
                </c:pt>
                <c:pt idx="13">
                  <c:v>4346977.16</c:v>
                </c:pt>
                <c:pt idx="15">
                  <c:v>7488115.6799999997</c:v>
                </c:pt>
              </c:numCache>
            </c:numRef>
          </c:val>
          <c:extLst>
            <c:ext xmlns:c16="http://schemas.microsoft.com/office/drawing/2014/chart" uri="{C3380CC4-5D6E-409C-BE32-E72D297353CC}">
              <c16:uniqueId val="{00000001-F1C7-4DB3-B5DB-D511215A4785}"/>
            </c:ext>
          </c:extLst>
        </c:ser>
        <c:dLbls>
          <c:dLblPos val="outEnd"/>
          <c:showLegendKey val="0"/>
          <c:showVal val="1"/>
          <c:showCatName val="0"/>
          <c:showSerName val="0"/>
          <c:showPercent val="0"/>
          <c:showBubbleSize val="0"/>
        </c:dLbls>
        <c:gapWidth val="444"/>
        <c:overlap val="-90"/>
        <c:axId val="900787752"/>
        <c:axId val="900781632"/>
        <c:extLst>
          <c:ext xmlns:c15="http://schemas.microsoft.com/office/drawing/2012/chart" uri="{02D57815-91ED-43cb-92C2-25804820EDAC}">
            <c15:filteredBarSeries>
              <c15:ser>
                <c:idx val="0"/>
                <c:order val="0"/>
                <c:tx>
                  <c:strRef>
                    <c:extLst>
                      <c:ext uri="{02D57815-91ED-43cb-92C2-25804820EDAC}">
                        <c15:formulaRef>
                          <c15:sqref>'Sheet 14- Overall Comparison'!$B$1</c15:sqref>
                        </c15:formulaRef>
                      </c:ext>
                    </c:extLst>
                    <c:strCache>
                      <c:ptCount val="1"/>
                      <c:pt idx="0">
                        <c:v>Total Sales</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cat>
                  <c:strRef>
                    <c:extLst>
                      <c:ext uri="{02D57815-91ED-43cb-92C2-25804820EDAC}">
                        <c15:formulaRef>
                          <c15:sqref>'Sheet 14- Overall Comparison'!$A$2:$A$17</c15:sqref>
                        </c15:formulaRef>
                      </c:ext>
                    </c:extLst>
                    <c:strCache>
                      <c:ptCount val="16"/>
                      <c:pt idx="1">
                        <c:v>Air India</c:v>
                      </c:pt>
                      <c:pt idx="3">
                        <c:v>British Airways </c:v>
                      </c:pt>
                      <c:pt idx="5">
                        <c:v>Emirates </c:v>
                      </c:pt>
                      <c:pt idx="7">
                        <c:v>Etihad</c:v>
                      </c:pt>
                      <c:pt idx="9">
                        <c:v>Lufthansa</c:v>
                      </c:pt>
                      <c:pt idx="11">
                        <c:v>Qatar Airways </c:v>
                      </c:pt>
                      <c:pt idx="13">
                        <c:v>Singapore Airlines</c:v>
                      </c:pt>
                      <c:pt idx="15">
                        <c:v>Thai Airways </c:v>
                      </c:pt>
                    </c:strCache>
                  </c:strRef>
                </c:cat>
                <c:val>
                  <c:numRef>
                    <c:extLst>
                      <c:ext uri="{02D57815-91ED-43cb-92C2-25804820EDAC}">
                        <c15:formulaRef>
                          <c15:sqref>'Sheet 14- Overall Comparison'!$B$2:$B$17</c15:sqref>
                        </c15:formulaRef>
                      </c:ext>
                    </c:extLst>
                    <c:numCache>
                      <c:formatCode>General</c:formatCode>
                      <c:ptCount val="16"/>
                      <c:pt idx="1">
                        <c:v>3434</c:v>
                      </c:pt>
                      <c:pt idx="3">
                        <c:v>3724</c:v>
                      </c:pt>
                      <c:pt idx="5">
                        <c:v>3060</c:v>
                      </c:pt>
                      <c:pt idx="7">
                        <c:v>2450</c:v>
                      </c:pt>
                      <c:pt idx="9">
                        <c:v>2897</c:v>
                      </c:pt>
                      <c:pt idx="11">
                        <c:v>3344</c:v>
                      </c:pt>
                      <c:pt idx="13">
                        <c:v>2905</c:v>
                      </c:pt>
                      <c:pt idx="15">
                        <c:v>3331</c:v>
                      </c:pt>
                    </c:numCache>
                  </c:numRef>
                </c:val>
                <c:extLst>
                  <c:ext xmlns:c16="http://schemas.microsoft.com/office/drawing/2014/chart" uri="{C3380CC4-5D6E-409C-BE32-E72D297353CC}">
                    <c16:uniqueId val="{00000000-F1C7-4DB3-B5DB-D511215A4785}"/>
                  </c:ext>
                </c:extLst>
              </c15:ser>
            </c15:filteredBarSeries>
          </c:ext>
        </c:extLst>
      </c:barChart>
      <c:catAx>
        <c:axId val="900787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00781632"/>
        <c:crosses val="autoZero"/>
        <c:auto val="1"/>
        <c:lblAlgn val="ctr"/>
        <c:lblOffset val="100"/>
        <c:noMultiLvlLbl val="0"/>
      </c:catAx>
      <c:valAx>
        <c:axId val="900781632"/>
        <c:scaling>
          <c:orientation val="minMax"/>
        </c:scaling>
        <c:delete val="1"/>
        <c:axPos val="l"/>
        <c:numFmt formatCode="General" sourceLinked="1"/>
        <c:majorTickMark val="none"/>
        <c:minorTickMark val="none"/>
        <c:tickLblPos val="nextTo"/>
        <c:crossAx val="900787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'Sheet 14- Overall Comparison'!$B$1</c:f>
              <c:strCache>
                <c:ptCount val="1"/>
                <c:pt idx="0">
                  <c:v>Total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53-447C-BFFA-3F64489DF2A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53-447C-BFFA-3F64489DF2A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453-447C-BFFA-3F64489DF2A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453-447C-BFFA-3F64489DF2A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453-447C-BFFA-3F64489DF2A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B453-447C-BFFA-3F64489DF2A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B453-447C-BFFA-3F64489DF2A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B453-447C-BFFA-3F64489DF2AD}"/>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B453-447C-BFFA-3F64489DF2AD}"/>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B453-447C-BFFA-3F64489DF2AD}"/>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B453-447C-BFFA-3F64489DF2AD}"/>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B453-447C-BFFA-3F64489DF2AD}"/>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B453-447C-BFFA-3F64489DF2AD}"/>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B453-447C-BFFA-3F64489DF2AD}"/>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B453-447C-BFFA-3F64489DF2AD}"/>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B453-447C-BFFA-3F64489DF2A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 14- Overall Comparison'!$A$2:$A$17</c:f>
              <c:strCache>
                <c:ptCount val="16"/>
                <c:pt idx="1">
                  <c:v>Air India</c:v>
                </c:pt>
                <c:pt idx="3">
                  <c:v>British Airways </c:v>
                </c:pt>
                <c:pt idx="5">
                  <c:v>Emirates </c:v>
                </c:pt>
                <c:pt idx="7">
                  <c:v>Etihad</c:v>
                </c:pt>
                <c:pt idx="9">
                  <c:v>Lufthansa</c:v>
                </c:pt>
                <c:pt idx="11">
                  <c:v>Qatar Airways </c:v>
                </c:pt>
                <c:pt idx="13">
                  <c:v>Singapore Airlines</c:v>
                </c:pt>
                <c:pt idx="15">
                  <c:v>Thai Airways </c:v>
                </c:pt>
              </c:strCache>
            </c:strRef>
          </c:cat>
          <c:val>
            <c:numRef>
              <c:f>'Sheet 14- Overall Comparison'!$B$2:$B$17</c:f>
              <c:numCache>
                <c:formatCode>General</c:formatCode>
                <c:ptCount val="16"/>
                <c:pt idx="1">
                  <c:v>3434</c:v>
                </c:pt>
                <c:pt idx="3">
                  <c:v>3724</c:v>
                </c:pt>
                <c:pt idx="5">
                  <c:v>3060</c:v>
                </c:pt>
                <c:pt idx="7">
                  <c:v>2450</c:v>
                </c:pt>
                <c:pt idx="9">
                  <c:v>2897</c:v>
                </c:pt>
                <c:pt idx="11">
                  <c:v>3344</c:v>
                </c:pt>
                <c:pt idx="13">
                  <c:v>2905</c:v>
                </c:pt>
                <c:pt idx="15">
                  <c:v>3331</c:v>
                </c:pt>
              </c:numCache>
            </c:numRef>
          </c:val>
          <c:extLst>
            <c:ext xmlns:c16="http://schemas.microsoft.com/office/drawing/2014/chart" uri="{C3380CC4-5D6E-409C-BE32-E72D297353CC}">
              <c16:uniqueId val="{00000000-95B7-4837-8321-684500728F66}"/>
            </c:ext>
          </c:extLst>
        </c:ser>
        <c:dLbls>
          <c:showLegendKey val="0"/>
          <c:showVal val="0"/>
          <c:showCatName val="0"/>
          <c:showSerName val="0"/>
          <c:showPercent val="1"/>
          <c:showBubbleSize val="0"/>
          <c:showLeaderLines val="1"/>
        </c:dLbls>
        <c:firstSliceAng val="0"/>
        <c:holeSize val="50"/>
        <c:extLst>
          <c:ext xmlns:c15="http://schemas.microsoft.com/office/drawing/2012/chart" uri="{02D57815-91ED-43cb-92C2-25804820EDAC}">
            <c15:filteredPieSeries>
              <c15:ser>
                <c:idx val="1"/>
                <c:order val="1"/>
                <c:tx>
                  <c:strRef>
                    <c:extLst>
                      <c:ext uri="{02D57815-91ED-43cb-92C2-25804820EDAC}">
                        <c15:formulaRef>
                          <c15:sqref>'Sheet 14- Overall Comparison'!$C$1</c15:sqref>
                        </c15:formulaRef>
                      </c:ext>
                    </c:extLst>
                    <c:strCache>
                      <c:ptCount val="1"/>
                      <c:pt idx="0">
                        <c:v>Total Revenue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B453-447C-BFFA-3F64489DF2A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B453-447C-BFFA-3F64489DF2A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B453-447C-BFFA-3F64489DF2A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B453-447C-BFFA-3F64489DF2A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B453-447C-BFFA-3F64489DF2A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B453-447C-BFFA-3F64489DF2AD}"/>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B453-447C-BFFA-3F64489DF2AD}"/>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B453-447C-BFFA-3F64489DF2AD}"/>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B453-447C-BFFA-3F64489DF2AD}"/>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B453-447C-BFFA-3F64489DF2AD}"/>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B453-447C-BFFA-3F64489DF2AD}"/>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B453-447C-BFFA-3F64489DF2AD}"/>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B453-447C-BFFA-3F64489DF2AD}"/>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B453-447C-BFFA-3F64489DF2AD}"/>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B453-447C-BFFA-3F64489DF2AD}"/>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B453-447C-BFFA-3F64489DF2AD}"/>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uri="{CE6537A1-D6FC-4f65-9D91-7224C49458BB}"/>
                  </c:extLst>
                </c:dLbls>
                <c:cat>
                  <c:strRef>
                    <c:extLst>
                      <c:ext uri="{02D57815-91ED-43cb-92C2-25804820EDAC}">
                        <c15:formulaRef>
                          <c15:sqref>'Sheet 14- Overall Comparison'!$A$2:$A$17</c15:sqref>
                        </c15:formulaRef>
                      </c:ext>
                    </c:extLst>
                    <c:strCache>
                      <c:ptCount val="16"/>
                      <c:pt idx="1">
                        <c:v>Air India</c:v>
                      </c:pt>
                      <c:pt idx="3">
                        <c:v>British Airways </c:v>
                      </c:pt>
                      <c:pt idx="5">
                        <c:v>Emirates </c:v>
                      </c:pt>
                      <c:pt idx="7">
                        <c:v>Etihad</c:v>
                      </c:pt>
                      <c:pt idx="9">
                        <c:v>Lufthansa</c:v>
                      </c:pt>
                      <c:pt idx="11">
                        <c:v>Qatar Airways </c:v>
                      </c:pt>
                      <c:pt idx="13">
                        <c:v>Singapore Airlines</c:v>
                      </c:pt>
                      <c:pt idx="15">
                        <c:v>Thai Airways </c:v>
                      </c:pt>
                    </c:strCache>
                  </c:strRef>
                </c:cat>
                <c:val>
                  <c:numRef>
                    <c:extLst>
                      <c:ext uri="{02D57815-91ED-43cb-92C2-25804820EDAC}">
                        <c15:formulaRef>
                          <c15:sqref>'Sheet 14- Overall Comparison'!$C$2:$C$17</c15:sqref>
                        </c15:formulaRef>
                      </c:ext>
                    </c:extLst>
                    <c:numCache>
                      <c:formatCode>General</c:formatCode>
                      <c:ptCount val="16"/>
                      <c:pt idx="1">
                        <c:v>7096286.8699999992</c:v>
                      </c:pt>
                      <c:pt idx="3">
                        <c:v>7865964.4900000002</c:v>
                      </c:pt>
                      <c:pt idx="5">
                        <c:v>4637132.05</c:v>
                      </c:pt>
                      <c:pt idx="7">
                        <c:v>4860104.5200000005</c:v>
                      </c:pt>
                      <c:pt idx="9">
                        <c:v>6276301.0000000009</c:v>
                      </c:pt>
                      <c:pt idx="11">
                        <c:v>8122368.5599999996</c:v>
                      </c:pt>
                      <c:pt idx="13">
                        <c:v>4346977.16</c:v>
                      </c:pt>
                      <c:pt idx="15">
                        <c:v>7488115.6799999997</c:v>
                      </c:pt>
                    </c:numCache>
                  </c:numRef>
                </c:val>
                <c:extLst>
                  <c:ext xmlns:c16="http://schemas.microsoft.com/office/drawing/2014/chart" uri="{C3380CC4-5D6E-409C-BE32-E72D297353CC}">
                    <c16:uniqueId val="{00000001-95B7-4837-8321-684500728F66}"/>
                  </c:ext>
                </c:extLst>
              </c15:ser>
            </c15:filteredPieSeries>
          </c:ext>
        </c:extLst>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7667804024496939"/>
          <c:y val="0.16655110819480898"/>
          <c:w val="0.45284711286089241"/>
          <c:h val="0.75474518810148727"/>
        </c:manualLayout>
      </c:layout>
      <c:doughnutChart>
        <c:varyColors val="1"/>
        <c:ser>
          <c:idx val="1"/>
          <c:order val="1"/>
          <c:tx>
            <c:strRef>
              <c:f>'Sheet 14- Overall Comparison'!$C$1</c:f>
              <c:strCache>
                <c:ptCount val="1"/>
                <c:pt idx="0">
                  <c:v>Total Revenue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549-4B99-96EA-EE90291A79A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549-4B99-96EA-EE90291A79A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549-4B99-96EA-EE90291A79A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549-4B99-96EA-EE90291A79A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549-4B99-96EA-EE90291A79A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549-4B99-96EA-EE90291A79A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549-4B99-96EA-EE90291A79A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D549-4B99-96EA-EE90291A79AB}"/>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D549-4B99-96EA-EE90291A79AB}"/>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D549-4B99-96EA-EE90291A79AB}"/>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D549-4B99-96EA-EE90291A79AB}"/>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D549-4B99-96EA-EE90291A79AB}"/>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D549-4B99-96EA-EE90291A79AB}"/>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D549-4B99-96EA-EE90291A79AB}"/>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D549-4B99-96EA-EE90291A79AB}"/>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D549-4B99-96EA-EE90291A79A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 14- Overall Comparison'!$A$2:$A$17</c:f>
              <c:strCache>
                <c:ptCount val="16"/>
                <c:pt idx="1">
                  <c:v>Air India</c:v>
                </c:pt>
                <c:pt idx="3">
                  <c:v>British Airways </c:v>
                </c:pt>
                <c:pt idx="5">
                  <c:v>Emirates </c:v>
                </c:pt>
                <c:pt idx="7">
                  <c:v>Etihad</c:v>
                </c:pt>
                <c:pt idx="9">
                  <c:v>Lufthansa</c:v>
                </c:pt>
                <c:pt idx="11">
                  <c:v>Qatar Airways </c:v>
                </c:pt>
                <c:pt idx="13">
                  <c:v>Singapore Airlines</c:v>
                </c:pt>
                <c:pt idx="15">
                  <c:v>Thai Airways </c:v>
                </c:pt>
              </c:strCache>
            </c:strRef>
          </c:cat>
          <c:val>
            <c:numRef>
              <c:f>'Sheet 14- Overall Comparison'!$C$2:$C$17</c:f>
              <c:numCache>
                <c:formatCode>General</c:formatCode>
                <c:ptCount val="16"/>
                <c:pt idx="1">
                  <c:v>7096286.8699999992</c:v>
                </c:pt>
                <c:pt idx="3">
                  <c:v>7865964.4900000002</c:v>
                </c:pt>
                <c:pt idx="5">
                  <c:v>4637132.05</c:v>
                </c:pt>
                <c:pt idx="7">
                  <c:v>4860104.5200000005</c:v>
                </c:pt>
                <c:pt idx="9">
                  <c:v>6276301.0000000009</c:v>
                </c:pt>
                <c:pt idx="11">
                  <c:v>8122368.5599999996</c:v>
                </c:pt>
                <c:pt idx="13">
                  <c:v>4346977.16</c:v>
                </c:pt>
                <c:pt idx="15">
                  <c:v>7488115.6799999997</c:v>
                </c:pt>
              </c:numCache>
            </c:numRef>
          </c:val>
          <c:extLst>
            <c:ext xmlns:c16="http://schemas.microsoft.com/office/drawing/2014/chart" uri="{C3380CC4-5D6E-409C-BE32-E72D297353CC}">
              <c16:uniqueId val="{00000001-9A37-4D6B-BA92-E6490AECABCB}"/>
            </c:ext>
          </c:extLst>
        </c:ser>
        <c:dLbls>
          <c:showLegendKey val="0"/>
          <c:showVal val="0"/>
          <c:showCatName val="0"/>
          <c:showSerName val="0"/>
          <c:showPercent val="1"/>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'Sheet 14- Overall Comparison'!$B$1</c15:sqref>
                        </c15:formulaRef>
                      </c:ext>
                    </c:extLst>
                    <c:strCache>
                      <c:ptCount val="1"/>
                      <c:pt idx="0">
                        <c:v>Total Sales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D549-4B99-96EA-EE90291A79A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D549-4B99-96EA-EE90291A79A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D549-4B99-96EA-EE90291A79AB}"/>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D549-4B99-96EA-EE90291A79AB}"/>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D549-4B99-96EA-EE90291A79AB}"/>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D549-4B99-96EA-EE90291A79AB}"/>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D549-4B99-96EA-EE90291A79AB}"/>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D549-4B99-96EA-EE90291A79AB}"/>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D549-4B99-96EA-EE90291A79AB}"/>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D549-4B99-96EA-EE90291A79AB}"/>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D549-4B99-96EA-EE90291A79AB}"/>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D549-4B99-96EA-EE90291A79AB}"/>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D549-4B99-96EA-EE90291A79AB}"/>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D549-4B99-96EA-EE90291A79AB}"/>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D549-4B99-96EA-EE90291A79AB}"/>
                    </c:ext>
                  </c:extLst>
                </c:dPt>
                <c:dPt>
                  <c:idx val="15"/>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D549-4B99-96EA-EE90291A79A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uri="{CE6537A1-D6FC-4f65-9D91-7224C49458BB}"/>
                  </c:extLst>
                </c:dLbls>
                <c:cat>
                  <c:strRef>
                    <c:extLst>
                      <c:ext uri="{02D57815-91ED-43cb-92C2-25804820EDAC}">
                        <c15:formulaRef>
                          <c15:sqref>'Sheet 14- Overall Comparison'!$A$2:$A$17</c15:sqref>
                        </c15:formulaRef>
                      </c:ext>
                    </c:extLst>
                    <c:strCache>
                      <c:ptCount val="16"/>
                      <c:pt idx="1">
                        <c:v>Air India</c:v>
                      </c:pt>
                      <c:pt idx="3">
                        <c:v>British Airways </c:v>
                      </c:pt>
                      <c:pt idx="5">
                        <c:v>Emirates </c:v>
                      </c:pt>
                      <c:pt idx="7">
                        <c:v>Etihad</c:v>
                      </c:pt>
                      <c:pt idx="9">
                        <c:v>Lufthansa</c:v>
                      </c:pt>
                      <c:pt idx="11">
                        <c:v>Qatar Airways </c:v>
                      </c:pt>
                      <c:pt idx="13">
                        <c:v>Singapore Airlines</c:v>
                      </c:pt>
                      <c:pt idx="15">
                        <c:v>Thai Airways </c:v>
                      </c:pt>
                    </c:strCache>
                  </c:strRef>
                </c:cat>
                <c:val>
                  <c:numRef>
                    <c:extLst>
                      <c:ext uri="{02D57815-91ED-43cb-92C2-25804820EDAC}">
                        <c15:formulaRef>
                          <c15:sqref>'Sheet 14- Overall Comparison'!$B$2:$B$17</c15:sqref>
                        </c15:formulaRef>
                      </c:ext>
                    </c:extLst>
                    <c:numCache>
                      <c:formatCode>General</c:formatCode>
                      <c:ptCount val="16"/>
                      <c:pt idx="1">
                        <c:v>3434</c:v>
                      </c:pt>
                      <c:pt idx="3">
                        <c:v>3724</c:v>
                      </c:pt>
                      <c:pt idx="5">
                        <c:v>3060</c:v>
                      </c:pt>
                      <c:pt idx="7">
                        <c:v>2450</c:v>
                      </c:pt>
                      <c:pt idx="9">
                        <c:v>2897</c:v>
                      </c:pt>
                      <c:pt idx="11">
                        <c:v>3344</c:v>
                      </c:pt>
                      <c:pt idx="13">
                        <c:v>2905</c:v>
                      </c:pt>
                      <c:pt idx="15">
                        <c:v>3331</c:v>
                      </c:pt>
                    </c:numCache>
                  </c:numRef>
                </c:val>
                <c:extLst>
                  <c:ext xmlns:c16="http://schemas.microsoft.com/office/drawing/2014/chart" uri="{C3380CC4-5D6E-409C-BE32-E72D297353CC}">
                    <c16:uniqueId val="{00000000-9A37-4D6B-BA92-E6490AECABCB}"/>
                  </c:ext>
                </c:extLst>
              </c15:ser>
            </c15:filteredPieSeries>
          </c:ext>
        </c:extLst>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12700</xdr:colOff>
      <xdr:row>1</xdr:row>
      <xdr:rowOff>177800</xdr:rowOff>
    </xdr:from>
    <xdr:to>
      <xdr:col>11</xdr:col>
      <xdr:colOff>323850</xdr:colOff>
      <xdr:row>16</xdr:row>
      <xdr:rowOff>158750</xdr:rowOff>
    </xdr:to>
    <xdr:graphicFrame macro="">
      <xdr:nvGraphicFramePr>
        <xdr:cNvPr id="2" name="Chart 1">
          <a:extLst>
            <a:ext uri="{FF2B5EF4-FFF2-40B4-BE49-F238E27FC236}">
              <a16:creationId xmlns:a16="http://schemas.microsoft.com/office/drawing/2014/main" id="{B3CEF229-0DAF-C88B-A483-AFB50BB16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581025</xdr:colOff>
      <xdr:row>19</xdr:row>
      <xdr:rowOff>6350</xdr:rowOff>
    </xdr:from>
    <xdr:to>
      <xdr:col>10</xdr:col>
      <xdr:colOff>276225</xdr:colOff>
      <xdr:row>33</xdr:row>
      <xdr:rowOff>171450</xdr:rowOff>
    </xdr:to>
    <xdr:graphicFrame macro="">
      <xdr:nvGraphicFramePr>
        <xdr:cNvPr id="3" name="Chart 2">
          <a:extLst>
            <a:ext uri="{FF2B5EF4-FFF2-40B4-BE49-F238E27FC236}">
              <a16:creationId xmlns:a16="http://schemas.microsoft.com/office/drawing/2014/main" id="{A8B44C88-126A-CA8E-AB90-9E462D50B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584200</xdr:colOff>
      <xdr:row>2</xdr:row>
      <xdr:rowOff>0</xdr:rowOff>
    </xdr:from>
    <xdr:to>
      <xdr:col>11</xdr:col>
      <xdr:colOff>552450</xdr:colOff>
      <xdr:row>16</xdr:row>
      <xdr:rowOff>165100</xdr:rowOff>
    </xdr:to>
    <xdr:graphicFrame macro="">
      <xdr:nvGraphicFramePr>
        <xdr:cNvPr id="2" name="Chart 1">
          <a:extLst>
            <a:ext uri="{FF2B5EF4-FFF2-40B4-BE49-F238E27FC236}">
              <a16:creationId xmlns:a16="http://schemas.microsoft.com/office/drawing/2014/main" id="{1752D5B0-CF0D-66E7-E470-7B192B20E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15875</xdr:colOff>
      <xdr:row>18</xdr:row>
      <xdr:rowOff>69850</xdr:rowOff>
    </xdr:from>
    <xdr:to>
      <xdr:col>10</xdr:col>
      <xdr:colOff>320675</xdr:colOff>
      <xdr:row>33</xdr:row>
      <xdr:rowOff>50800</xdr:rowOff>
    </xdr:to>
    <xdr:graphicFrame macro="">
      <xdr:nvGraphicFramePr>
        <xdr:cNvPr id="3" name="Chart 2">
          <a:extLst>
            <a:ext uri="{FF2B5EF4-FFF2-40B4-BE49-F238E27FC236}">
              <a16:creationId xmlns:a16="http://schemas.microsoft.com/office/drawing/2014/main" id="{D0DC5589-2A45-F056-913C-1571073845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212724</xdr:colOff>
      <xdr:row>0</xdr:row>
      <xdr:rowOff>0</xdr:rowOff>
    </xdr:from>
    <xdr:to>
      <xdr:col>13</xdr:col>
      <xdr:colOff>101600</xdr:colOff>
      <xdr:row>14</xdr:row>
      <xdr:rowOff>165100</xdr:rowOff>
    </xdr:to>
    <xdr:graphicFrame macro="">
      <xdr:nvGraphicFramePr>
        <xdr:cNvPr id="2" name="Chart 1">
          <a:extLst>
            <a:ext uri="{FF2B5EF4-FFF2-40B4-BE49-F238E27FC236}">
              <a16:creationId xmlns:a16="http://schemas.microsoft.com/office/drawing/2014/main" id="{F7836483-01A1-4749-4F53-E5AC47B2F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225424</xdr:colOff>
      <xdr:row>16</xdr:row>
      <xdr:rowOff>57150</xdr:rowOff>
    </xdr:from>
    <xdr:to>
      <xdr:col>13</xdr:col>
      <xdr:colOff>31749</xdr:colOff>
      <xdr:row>31</xdr:row>
      <xdr:rowOff>38100</xdr:rowOff>
    </xdr:to>
    <xdr:graphicFrame macro="">
      <xdr:nvGraphicFramePr>
        <xdr:cNvPr id="3" name="Chart 2">
          <a:extLst>
            <a:ext uri="{FF2B5EF4-FFF2-40B4-BE49-F238E27FC236}">
              <a16:creationId xmlns:a16="http://schemas.microsoft.com/office/drawing/2014/main" id="{54415019-9AF8-2D9D-72CA-BA50D94E6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219074</xdr:colOff>
      <xdr:row>0</xdr:row>
      <xdr:rowOff>25400</xdr:rowOff>
    </xdr:from>
    <xdr:to>
      <xdr:col>11</xdr:col>
      <xdr:colOff>190499</xdr:colOff>
      <xdr:row>15</xdr:row>
      <xdr:rowOff>6350</xdr:rowOff>
    </xdr:to>
    <xdr:graphicFrame macro="">
      <xdr:nvGraphicFramePr>
        <xdr:cNvPr id="2" name="Chart 1">
          <a:extLst>
            <a:ext uri="{FF2B5EF4-FFF2-40B4-BE49-F238E27FC236}">
              <a16:creationId xmlns:a16="http://schemas.microsoft.com/office/drawing/2014/main" id="{373A393F-275C-7FC8-EC2A-7349C819F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244474</xdr:colOff>
      <xdr:row>15</xdr:row>
      <xdr:rowOff>158750</xdr:rowOff>
    </xdr:from>
    <xdr:to>
      <xdr:col>11</xdr:col>
      <xdr:colOff>184149</xdr:colOff>
      <xdr:row>30</xdr:row>
      <xdr:rowOff>139700</xdr:rowOff>
    </xdr:to>
    <xdr:graphicFrame macro="">
      <xdr:nvGraphicFramePr>
        <xdr:cNvPr id="4" name="Chart 3">
          <a:extLst>
            <a:ext uri="{FF2B5EF4-FFF2-40B4-BE49-F238E27FC236}">
              <a16:creationId xmlns:a16="http://schemas.microsoft.com/office/drawing/2014/main" id="{48F8A338-50DF-BA9F-8451-9EA3D73D3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34925</xdr:colOff>
      <xdr:row>0</xdr:row>
      <xdr:rowOff>0</xdr:rowOff>
    </xdr:from>
    <xdr:to>
      <xdr:col>17</xdr:col>
      <xdr:colOff>565150</xdr:colOff>
      <xdr:row>14</xdr:row>
      <xdr:rowOff>165100</xdr:rowOff>
    </xdr:to>
    <xdr:graphicFrame macro="">
      <xdr:nvGraphicFramePr>
        <xdr:cNvPr id="5" name="Chart 4">
          <a:extLst>
            <a:ext uri="{FF2B5EF4-FFF2-40B4-BE49-F238E27FC236}">
              <a16:creationId xmlns:a16="http://schemas.microsoft.com/office/drawing/2014/main" id="{B2D027B4-7179-AB01-7CD0-0B91106BD3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606425</xdr:colOff>
      <xdr:row>16</xdr:row>
      <xdr:rowOff>0</xdr:rowOff>
    </xdr:from>
    <xdr:to>
      <xdr:col>17</xdr:col>
      <xdr:colOff>577850</xdr:colOff>
      <xdr:row>30</xdr:row>
      <xdr:rowOff>165100</xdr:rowOff>
    </xdr:to>
    <xdr:graphicFrame macro="">
      <xdr:nvGraphicFramePr>
        <xdr:cNvPr id="6" name="Chart 5">
          <a:extLst>
            <a:ext uri="{FF2B5EF4-FFF2-40B4-BE49-F238E27FC236}">
              <a16:creationId xmlns:a16="http://schemas.microsoft.com/office/drawing/2014/main" id="{432165C5-5A7A-00DE-4A87-C0642CA22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K" refreshedDate="46103.665834837964" backgroundQuery="1" createdVersion="8" refreshedVersion="8" minRefreshableVersion="3" recordCount="0" supportSubquery="1" supportAdvancedDrill="1" xr:uid="{55352C53-4596-43D1-9CD8-CE90AEE26CD4}">
  <cacheSource type="external" connectionId="1"/>
  <cacheFields count="3">
    <cacheField name="[Range].[Airline].[Airline]" caption="Airline" numFmtId="0" hierarchy="1" level="1">
      <sharedItems count="8">
        <s v="Air India"/>
        <s v="British Airways"/>
        <s v="Emirates"/>
        <s v="Etihad"/>
        <s v="Lufthansa"/>
        <s v="Qatar Airways"/>
        <s v="Singapore Airlines"/>
        <s v="Thai Airways"/>
      </sharedItems>
    </cacheField>
    <cacheField name="[Range].[Class].[Class]" caption="Class" numFmtId="0" hierarchy="5" level="1">
      <sharedItems count="3">
        <s v="Business"/>
        <s v="Economy"/>
        <s v="First"/>
      </sharedItems>
    </cacheField>
    <cacheField name="[Measures].[Sum of Units_Sold]" caption="Sum of Units_Sold" numFmtId="0" hierarchy="12" level="32767"/>
  </cacheFields>
  <cacheHierarchies count="14">
    <cacheHierarchy uniqueName="[Range].[Ticket_ID]" caption="Ticket_ID" attribute="1" defaultMemberUniqueName="[Range].[Ticket_ID].[All]" allUniqueName="[Range].[Ticket_ID].[All]" dimensionUniqueName="[Range]" displayFolder="" count="0" memberValueDatatype="20" unbalanced="0"/>
    <cacheHierarchy uniqueName="[Range].[Airline]" caption="Airline" attribute="1" defaultMemberUniqueName="[Range].[Airline].[All]" allUniqueName="[Range].[Airline].[All]" dimensionUniqueName="[Range]" displayFolder="" count="2" memberValueDatatype="130" unbalanced="0">
      <fieldsUsage count="2">
        <fieldUsage x="-1"/>
        <fieldUsage x="0"/>
      </fieldsUsage>
    </cacheHierarchy>
    <cacheHierarchy uniqueName="[Range].[Origin]" caption="Origin" attribute="1" defaultMemberUniqueName="[Range].[Origin].[All]" allUniqueName="[Range].[Origin].[All]" dimensionUniqueName="[Range]" displayFolder="" count="0" memberValueDatatype="130" unbalanced="0"/>
    <cacheHierarchy uniqueName="[Range].[Destination]" caption="Destination" attribute="1" defaultMemberUniqueName="[Range].[Destination].[All]" allUniqueName="[Range].[Destination].[All]" dimensionUniqueName="[Range]" displayFolder="" count="0" memberValueDatatype="130" unbalanced="0"/>
    <cacheHierarchy uniqueName="[Range].[Distance_km]" caption="Distance_km" attribute="1" defaultMemberUniqueName="[Range].[Distance_km].[All]" allUniqueName="[Range].[Distance_km].[All]" dimensionUniqueName="[Range]" displayFolder="" count="0" memberValueDatatype="20" unbalanced="0"/>
    <cacheHierarchy uniqueName="[Range].[Class]" caption="Class" attribute="1" defaultMemberUniqueName="[Range].[Class].[All]" allUniqueName="[Range].[Class].[All]" dimensionUniqueName="[Range]" displayFolder="" count="2" memberValueDatatype="130" unbalanced="0">
      <fieldsUsage count="2">
        <fieldUsage x="-1"/>
        <fieldUsage x="1"/>
      </fieldsUsage>
    </cacheHierarchy>
    <cacheHierarchy uniqueName="[Range].[Days_Before_Departure]" caption="Days_Before_Departure" attribute="1" defaultMemberUniqueName="[Range].[Days_Before_Departure].[All]" allUniqueName="[Range].[Days_Before_Departure].[All]" dimensionUniqueName="[Range]" displayFolder="" count="0" memberValueDatatype="20" unbalanced="0"/>
    <cacheHierarchy uniqueName="[Range].[Price_USD]" caption="Price_USD" attribute="1" defaultMemberUniqueName="[Range].[Price_USD].[All]" allUniqueName="[Range].[Price_USD].[All]" dimensionUniqueName="[Range]" displayFolder="" count="0" memberValueDatatype="5" unbalanced="0"/>
    <cacheHierarchy uniqueName="[Range].[Units_Sold]" caption="Units_Sold" attribute="1" defaultMemberUniqueName="[Range].[Units_Sold].[All]" allUniqueName="[Range].[Units_Sold].[All]" dimensionUniqueName="[Range]" displayFolder="" count="0" memberValueDatatype="20" unbalanced="0"/>
    <cacheHierarchy uniqueName="[Range].[Revenue_USD]" caption="Revenue_USD" attribute="1" defaultMemberUniqueName="[Range].[Revenue_USD].[All]" allUniqueName="[Range].[Revenue_USD].[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nits_Sold]" caption="Sum of Units_Sold" measure="1" displayFolder="" measureGroup="Range"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Revenue_USD]" caption="Sum of Revenue_USD"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WIN K" refreshedDate="46103.669111689815" backgroundQuery="1" createdVersion="8" refreshedVersion="8" minRefreshableVersion="3" recordCount="0" supportSubquery="1" supportAdvancedDrill="1" xr:uid="{C585DDD8-8F98-4880-90D1-46B9EB38040A}">
  <cacheSource type="external" connectionId="1"/>
  <cacheFields count="3">
    <cacheField name="[Range].[Airline].[Airline]" caption="Airline" numFmtId="0" hierarchy="1" level="1">
      <sharedItems count="8">
        <s v="Air India"/>
        <s v="British Airways"/>
        <s v="Emirates"/>
        <s v="Etihad"/>
        <s v="Lufthansa"/>
        <s v="Qatar Airways"/>
        <s v="Singapore Airlines"/>
        <s v="Thai Airways"/>
      </sharedItems>
    </cacheField>
    <cacheField name="[Range].[Class].[Class]" caption="Class" numFmtId="0" hierarchy="5" level="1">
      <sharedItems count="3">
        <s v="Business"/>
        <s v="Economy"/>
        <s v="First"/>
      </sharedItems>
    </cacheField>
    <cacheField name="[Measures].[Sum of Revenue_USD]" caption="Sum of Revenue_USD" numFmtId="0" hierarchy="13" level="32767"/>
  </cacheFields>
  <cacheHierarchies count="14">
    <cacheHierarchy uniqueName="[Range].[Ticket_ID]" caption="Ticket_ID" attribute="1" defaultMemberUniqueName="[Range].[Ticket_ID].[All]" allUniqueName="[Range].[Ticket_ID].[All]" dimensionUniqueName="[Range]" displayFolder="" count="0" memberValueDatatype="20" unbalanced="0"/>
    <cacheHierarchy uniqueName="[Range].[Airline]" caption="Airline" attribute="1" defaultMemberUniqueName="[Range].[Airline].[All]" allUniqueName="[Range].[Airline].[All]" dimensionUniqueName="[Range]" displayFolder="" count="2" memberValueDatatype="130" unbalanced="0">
      <fieldsUsage count="2">
        <fieldUsage x="-1"/>
        <fieldUsage x="0"/>
      </fieldsUsage>
    </cacheHierarchy>
    <cacheHierarchy uniqueName="[Range].[Origin]" caption="Origin" attribute="1" defaultMemberUniqueName="[Range].[Origin].[All]" allUniqueName="[Range].[Origin].[All]" dimensionUniqueName="[Range]" displayFolder="" count="0" memberValueDatatype="130" unbalanced="0"/>
    <cacheHierarchy uniqueName="[Range].[Destination]" caption="Destination" attribute="1" defaultMemberUniqueName="[Range].[Destination].[All]" allUniqueName="[Range].[Destination].[All]" dimensionUniqueName="[Range]" displayFolder="" count="0" memberValueDatatype="130" unbalanced="0"/>
    <cacheHierarchy uniqueName="[Range].[Distance_km]" caption="Distance_km" attribute="1" defaultMemberUniqueName="[Range].[Distance_km].[All]" allUniqueName="[Range].[Distance_km].[All]" dimensionUniqueName="[Range]" displayFolder="" count="0" memberValueDatatype="20" unbalanced="0"/>
    <cacheHierarchy uniqueName="[Range].[Class]" caption="Class" attribute="1" defaultMemberUniqueName="[Range].[Class].[All]" allUniqueName="[Range].[Class].[All]" dimensionUniqueName="[Range]" displayFolder="" count="2" memberValueDatatype="130" unbalanced="0">
      <fieldsUsage count="2">
        <fieldUsage x="-1"/>
        <fieldUsage x="1"/>
      </fieldsUsage>
    </cacheHierarchy>
    <cacheHierarchy uniqueName="[Range].[Days_Before_Departure]" caption="Days_Before_Departure" attribute="1" defaultMemberUniqueName="[Range].[Days_Before_Departure].[All]" allUniqueName="[Range].[Days_Before_Departure].[All]" dimensionUniqueName="[Range]" displayFolder="" count="0" memberValueDatatype="20" unbalanced="0"/>
    <cacheHierarchy uniqueName="[Range].[Price_USD]" caption="Price_USD" attribute="1" defaultMemberUniqueName="[Range].[Price_USD].[All]" allUniqueName="[Range].[Price_USD].[All]" dimensionUniqueName="[Range]" displayFolder="" count="0" memberValueDatatype="5" unbalanced="0"/>
    <cacheHierarchy uniqueName="[Range].[Units_Sold]" caption="Units_Sold" attribute="1" defaultMemberUniqueName="[Range].[Units_Sold].[All]" allUniqueName="[Range].[Units_Sold].[All]" dimensionUniqueName="[Range]" displayFolder="" count="0" memberValueDatatype="20" unbalanced="0"/>
    <cacheHierarchy uniqueName="[Range].[Revenue_USD]" caption="Revenue_USD" attribute="1" defaultMemberUniqueName="[Range].[Revenue_USD].[All]" allUniqueName="[Range].[Revenue_USD].[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nits_Sold]" caption="Sum of Units_Sold" measure="1" displayFolder="" measureGroup="Range" count="0" hidden="1">
      <extLst>
        <ext xmlns:x15="http://schemas.microsoft.com/office/spreadsheetml/2010/11/main" uri="{B97F6D7D-B522-45F9-BDA1-12C45D357490}">
          <x15:cacheHierarchy aggregatedColumn="8"/>
        </ext>
      </extLst>
    </cacheHierarchy>
    <cacheHierarchy uniqueName="[Measures].[Sum of Revenue_USD]" caption="Sum of Revenue_USD" measure="1" displayFolder="" measureGroup="Range"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69FC63-DE81-42A0-8152-437B2DD2D72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36"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0"/>
    <field x="1"/>
  </rowFields>
  <rowItems count="33">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t="grand">
      <x/>
    </i>
  </rowItems>
  <colItems count="1">
    <i/>
  </colItems>
  <dataFields count="1">
    <dataField name="Sum of Units_Sold" fld="2" baseField="0" baseItem="0"/>
  </dataFields>
  <chartFormats count="2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0" count="1" selected="0">
            <x v="0"/>
          </reference>
          <reference field="1" count="1" selected="0">
            <x v="0"/>
          </reference>
        </references>
      </pivotArea>
    </chartFormat>
    <chartFormat chart="1" format="2">
      <pivotArea type="data" outline="0" fieldPosition="0">
        <references count="3">
          <reference field="4294967294" count="1" selected="0">
            <x v="0"/>
          </reference>
          <reference field="0" count="1" selected="0">
            <x v="0"/>
          </reference>
          <reference field="1" count="1" selected="0">
            <x v="1"/>
          </reference>
        </references>
      </pivotArea>
    </chartFormat>
    <chartFormat chart="1" format="3">
      <pivotArea type="data" outline="0" fieldPosition="0">
        <references count="3">
          <reference field="4294967294" count="1" selected="0">
            <x v="0"/>
          </reference>
          <reference field="0" count="1" selected="0">
            <x v="0"/>
          </reference>
          <reference field="1" count="1" selected="0">
            <x v="2"/>
          </reference>
        </references>
      </pivotArea>
    </chartFormat>
    <chartFormat chart="1" format="4">
      <pivotArea type="data" outline="0" fieldPosition="0">
        <references count="3">
          <reference field="4294967294" count="1" selected="0">
            <x v="0"/>
          </reference>
          <reference field="0" count="1" selected="0">
            <x v="1"/>
          </reference>
          <reference field="1" count="1" selected="0">
            <x v="0"/>
          </reference>
        </references>
      </pivotArea>
    </chartFormat>
    <chartFormat chart="1" format="5">
      <pivotArea type="data" outline="0" fieldPosition="0">
        <references count="3">
          <reference field="4294967294" count="1" selected="0">
            <x v="0"/>
          </reference>
          <reference field="0" count="1" selected="0">
            <x v="1"/>
          </reference>
          <reference field="1" count="1" selected="0">
            <x v="1"/>
          </reference>
        </references>
      </pivotArea>
    </chartFormat>
    <chartFormat chart="1" format="6">
      <pivotArea type="data" outline="0" fieldPosition="0">
        <references count="3">
          <reference field="4294967294" count="1" selected="0">
            <x v="0"/>
          </reference>
          <reference field="0" count="1" selected="0">
            <x v="1"/>
          </reference>
          <reference field="1" count="1" selected="0">
            <x v="2"/>
          </reference>
        </references>
      </pivotArea>
    </chartFormat>
    <chartFormat chart="1" format="7">
      <pivotArea type="data" outline="0" fieldPosition="0">
        <references count="3">
          <reference field="4294967294" count="1" selected="0">
            <x v="0"/>
          </reference>
          <reference field="0" count="1" selected="0">
            <x v="2"/>
          </reference>
          <reference field="1" count="1" selected="0">
            <x v="0"/>
          </reference>
        </references>
      </pivotArea>
    </chartFormat>
    <chartFormat chart="1" format="8">
      <pivotArea type="data" outline="0" fieldPosition="0">
        <references count="3">
          <reference field="4294967294" count="1" selected="0">
            <x v="0"/>
          </reference>
          <reference field="0" count="1" selected="0">
            <x v="2"/>
          </reference>
          <reference field="1" count="1" selected="0">
            <x v="1"/>
          </reference>
        </references>
      </pivotArea>
    </chartFormat>
    <chartFormat chart="1" format="9">
      <pivotArea type="data" outline="0" fieldPosition="0">
        <references count="3">
          <reference field="4294967294" count="1" selected="0">
            <x v="0"/>
          </reference>
          <reference field="0" count="1" selected="0">
            <x v="2"/>
          </reference>
          <reference field="1" count="1" selected="0">
            <x v="2"/>
          </reference>
        </references>
      </pivotArea>
    </chartFormat>
    <chartFormat chart="1" format="10">
      <pivotArea type="data" outline="0" fieldPosition="0">
        <references count="3">
          <reference field="4294967294" count="1" selected="0">
            <x v="0"/>
          </reference>
          <reference field="0" count="1" selected="0">
            <x v="3"/>
          </reference>
          <reference field="1" count="1" selected="0">
            <x v="0"/>
          </reference>
        </references>
      </pivotArea>
    </chartFormat>
    <chartFormat chart="1" format="11">
      <pivotArea type="data" outline="0" fieldPosition="0">
        <references count="3">
          <reference field="4294967294" count="1" selected="0">
            <x v="0"/>
          </reference>
          <reference field="0" count="1" selected="0">
            <x v="3"/>
          </reference>
          <reference field="1" count="1" selected="0">
            <x v="1"/>
          </reference>
        </references>
      </pivotArea>
    </chartFormat>
    <chartFormat chart="1" format="12">
      <pivotArea type="data" outline="0" fieldPosition="0">
        <references count="3">
          <reference field="4294967294" count="1" selected="0">
            <x v="0"/>
          </reference>
          <reference field="0" count="1" selected="0">
            <x v="3"/>
          </reference>
          <reference field="1" count="1" selected="0">
            <x v="2"/>
          </reference>
        </references>
      </pivotArea>
    </chartFormat>
    <chartFormat chart="1" format="13">
      <pivotArea type="data" outline="0" fieldPosition="0">
        <references count="3">
          <reference field="4294967294" count="1" selected="0">
            <x v="0"/>
          </reference>
          <reference field="0" count="1" selected="0">
            <x v="4"/>
          </reference>
          <reference field="1" count="1" selected="0">
            <x v="0"/>
          </reference>
        </references>
      </pivotArea>
    </chartFormat>
    <chartFormat chart="1" format="14">
      <pivotArea type="data" outline="0" fieldPosition="0">
        <references count="3">
          <reference field="4294967294" count="1" selected="0">
            <x v="0"/>
          </reference>
          <reference field="0" count="1" selected="0">
            <x v="4"/>
          </reference>
          <reference field="1" count="1" selected="0">
            <x v="1"/>
          </reference>
        </references>
      </pivotArea>
    </chartFormat>
    <chartFormat chart="1" format="15">
      <pivotArea type="data" outline="0" fieldPosition="0">
        <references count="3">
          <reference field="4294967294" count="1" selected="0">
            <x v="0"/>
          </reference>
          <reference field="0" count="1" selected="0">
            <x v="4"/>
          </reference>
          <reference field="1" count="1" selected="0">
            <x v="2"/>
          </reference>
        </references>
      </pivotArea>
    </chartFormat>
    <chartFormat chart="1" format="16">
      <pivotArea type="data" outline="0" fieldPosition="0">
        <references count="3">
          <reference field="4294967294" count="1" selected="0">
            <x v="0"/>
          </reference>
          <reference field="0" count="1" selected="0">
            <x v="5"/>
          </reference>
          <reference field="1" count="1" selected="0">
            <x v="0"/>
          </reference>
        </references>
      </pivotArea>
    </chartFormat>
    <chartFormat chart="1" format="17">
      <pivotArea type="data" outline="0" fieldPosition="0">
        <references count="3">
          <reference field="4294967294" count="1" selected="0">
            <x v="0"/>
          </reference>
          <reference field="0" count="1" selected="0">
            <x v="5"/>
          </reference>
          <reference field="1" count="1" selected="0">
            <x v="1"/>
          </reference>
        </references>
      </pivotArea>
    </chartFormat>
    <chartFormat chart="1" format="18">
      <pivotArea type="data" outline="0" fieldPosition="0">
        <references count="3">
          <reference field="4294967294" count="1" selected="0">
            <x v="0"/>
          </reference>
          <reference field="0" count="1" selected="0">
            <x v="5"/>
          </reference>
          <reference field="1" count="1" selected="0">
            <x v="2"/>
          </reference>
        </references>
      </pivotArea>
    </chartFormat>
    <chartFormat chart="1" format="19">
      <pivotArea type="data" outline="0" fieldPosition="0">
        <references count="3">
          <reference field="4294967294" count="1" selected="0">
            <x v="0"/>
          </reference>
          <reference field="0" count="1" selected="0">
            <x v="6"/>
          </reference>
          <reference field="1" count="1" selected="0">
            <x v="0"/>
          </reference>
        </references>
      </pivotArea>
    </chartFormat>
    <chartFormat chart="1" format="20">
      <pivotArea type="data" outline="0" fieldPosition="0">
        <references count="3">
          <reference field="4294967294" count="1" selected="0">
            <x v="0"/>
          </reference>
          <reference field="0" count="1" selected="0">
            <x v="6"/>
          </reference>
          <reference field="1" count="1" selected="0">
            <x v="1"/>
          </reference>
        </references>
      </pivotArea>
    </chartFormat>
    <chartFormat chart="1" format="21">
      <pivotArea type="data" outline="0" fieldPosition="0">
        <references count="3">
          <reference field="4294967294" count="1" selected="0">
            <x v="0"/>
          </reference>
          <reference field="0" count="1" selected="0">
            <x v="6"/>
          </reference>
          <reference field="1" count="1" selected="0">
            <x v="2"/>
          </reference>
        </references>
      </pivotArea>
    </chartFormat>
    <chartFormat chart="1" format="22">
      <pivotArea type="data" outline="0" fieldPosition="0">
        <references count="3">
          <reference field="4294967294" count="1" selected="0">
            <x v="0"/>
          </reference>
          <reference field="0" count="1" selected="0">
            <x v="7"/>
          </reference>
          <reference field="1" count="1" selected="0">
            <x v="0"/>
          </reference>
        </references>
      </pivotArea>
    </chartFormat>
    <chartFormat chart="1" format="23">
      <pivotArea type="data" outline="0" fieldPosition="0">
        <references count="3">
          <reference field="4294967294" count="1" selected="0">
            <x v="0"/>
          </reference>
          <reference field="0" count="1" selected="0">
            <x v="7"/>
          </reference>
          <reference field="1" count="1" selected="0">
            <x v="1"/>
          </reference>
        </references>
      </pivotArea>
    </chartFormat>
    <chartFormat chart="1" format="24">
      <pivotArea type="data" outline="0" fieldPosition="0">
        <references count="3">
          <reference field="4294967294" count="1" selected="0">
            <x v="0"/>
          </reference>
          <reference field="0" count="1" selected="0">
            <x v="7"/>
          </reference>
          <reference field="1" count="1" selected="0">
            <x v="2"/>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rline_ticket_prices_dataset!$A$1:$J$2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B34D75-EF96-43E4-8A03-47265EF3C3F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36"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0"/>
    <field x="1"/>
  </rowFields>
  <rowItems count="33">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t="grand">
      <x/>
    </i>
  </rowItems>
  <colItems count="1">
    <i/>
  </colItems>
  <dataFields count="1">
    <dataField name="Sum of Revenue_USD" fld="2" baseField="0" baseItem="0"/>
  </dataFields>
  <chartFormats count="2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0" count="1" selected="0">
            <x v="0"/>
          </reference>
          <reference field="1" count="1" selected="0">
            <x v="0"/>
          </reference>
        </references>
      </pivotArea>
    </chartFormat>
    <chartFormat chart="1" format="2">
      <pivotArea type="data" outline="0" fieldPosition="0">
        <references count="3">
          <reference field="4294967294" count="1" selected="0">
            <x v="0"/>
          </reference>
          <reference field="0" count="1" selected="0">
            <x v="0"/>
          </reference>
          <reference field="1" count="1" selected="0">
            <x v="1"/>
          </reference>
        </references>
      </pivotArea>
    </chartFormat>
    <chartFormat chart="1" format="3">
      <pivotArea type="data" outline="0" fieldPosition="0">
        <references count="3">
          <reference field="4294967294" count="1" selected="0">
            <x v="0"/>
          </reference>
          <reference field="0" count="1" selected="0">
            <x v="0"/>
          </reference>
          <reference field="1" count="1" selected="0">
            <x v="2"/>
          </reference>
        </references>
      </pivotArea>
    </chartFormat>
    <chartFormat chart="1" format="4">
      <pivotArea type="data" outline="0" fieldPosition="0">
        <references count="3">
          <reference field="4294967294" count="1" selected="0">
            <x v="0"/>
          </reference>
          <reference field="0" count="1" selected="0">
            <x v="1"/>
          </reference>
          <reference field="1" count="1" selected="0">
            <x v="0"/>
          </reference>
        </references>
      </pivotArea>
    </chartFormat>
    <chartFormat chart="1" format="5">
      <pivotArea type="data" outline="0" fieldPosition="0">
        <references count="3">
          <reference field="4294967294" count="1" selected="0">
            <x v="0"/>
          </reference>
          <reference field="0" count="1" selected="0">
            <x v="1"/>
          </reference>
          <reference field="1" count="1" selected="0">
            <x v="1"/>
          </reference>
        </references>
      </pivotArea>
    </chartFormat>
    <chartFormat chart="1" format="6">
      <pivotArea type="data" outline="0" fieldPosition="0">
        <references count="3">
          <reference field="4294967294" count="1" selected="0">
            <x v="0"/>
          </reference>
          <reference field="0" count="1" selected="0">
            <x v="1"/>
          </reference>
          <reference field="1" count="1" selected="0">
            <x v="2"/>
          </reference>
        </references>
      </pivotArea>
    </chartFormat>
    <chartFormat chart="1" format="7">
      <pivotArea type="data" outline="0" fieldPosition="0">
        <references count="3">
          <reference field="4294967294" count="1" selected="0">
            <x v="0"/>
          </reference>
          <reference field="0" count="1" selected="0">
            <x v="2"/>
          </reference>
          <reference field="1" count="1" selected="0">
            <x v="0"/>
          </reference>
        </references>
      </pivotArea>
    </chartFormat>
    <chartFormat chart="1" format="8">
      <pivotArea type="data" outline="0" fieldPosition="0">
        <references count="3">
          <reference field="4294967294" count="1" selected="0">
            <x v="0"/>
          </reference>
          <reference field="0" count="1" selected="0">
            <x v="2"/>
          </reference>
          <reference field="1" count="1" selected="0">
            <x v="1"/>
          </reference>
        </references>
      </pivotArea>
    </chartFormat>
    <chartFormat chart="1" format="9">
      <pivotArea type="data" outline="0" fieldPosition="0">
        <references count="3">
          <reference field="4294967294" count="1" selected="0">
            <x v="0"/>
          </reference>
          <reference field="0" count="1" selected="0">
            <x v="2"/>
          </reference>
          <reference field="1" count="1" selected="0">
            <x v="2"/>
          </reference>
        </references>
      </pivotArea>
    </chartFormat>
    <chartFormat chart="1" format="10">
      <pivotArea type="data" outline="0" fieldPosition="0">
        <references count="3">
          <reference field="4294967294" count="1" selected="0">
            <x v="0"/>
          </reference>
          <reference field="0" count="1" selected="0">
            <x v="3"/>
          </reference>
          <reference field="1" count="1" selected="0">
            <x v="0"/>
          </reference>
        </references>
      </pivotArea>
    </chartFormat>
    <chartFormat chart="1" format="11">
      <pivotArea type="data" outline="0" fieldPosition="0">
        <references count="3">
          <reference field="4294967294" count="1" selected="0">
            <x v="0"/>
          </reference>
          <reference field="0" count="1" selected="0">
            <x v="3"/>
          </reference>
          <reference field="1" count="1" selected="0">
            <x v="1"/>
          </reference>
        </references>
      </pivotArea>
    </chartFormat>
    <chartFormat chart="1" format="12">
      <pivotArea type="data" outline="0" fieldPosition="0">
        <references count="3">
          <reference field="4294967294" count="1" selected="0">
            <x v="0"/>
          </reference>
          <reference field="0" count="1" selected="0">
            <x v="3"/>
          </reference>
          <reference field="1" count="1" selected="0">
            <x v="2"/>
          </reference>
        </references>
      </pivotArea>
    </chartFormat>
    <chartFormat chart="1" format="13">
      <pivotArea type="data" outline="0" fieldPosition="0">
        <references count="3">
          <reference field="4294967294" count="1" selected="0">
            <x v="0"/>
          </reference>
          <reference field="0" count="1" selected="0">
            <x v="4"/>
          </reference>
          <reference field="1" count="1" selected="0">
            <x v="0"/>
          </reference>
        </references>
      </pivotArea>
    </chartFormat>
    <chartFormat chart="1" format="14">
      <pivotArea type="data" outline="0" fieldPosition="0">
        <references count="3">
          <reference field="4294967294" count="1" selected="0">
            <x v="0"/>
          </reference>
          <reference field="0" count="1" selected="0">
            <x v="4"/>
          </reference>
          <reference field="1" count="1" selected="0">
            <x v="1"/>
          </reference>
        </references>
      </pivotArea>
    </chartFormat>
    <chartFormat chart="1" format="15">
      <pivotArea type="data" outline="0" fieldPosition="0">
        <references count="3">
          <reference field="4294967294" count="1" selected="0">
            <x v="0"/>
          </reference>
          <reference field="0" count="1" selected="0">
            <x v="4"/>
          </reference>
          <reference field="1" count="1" selected="0">
            <x v="2"/>
          </reference>
        </references>
      </pivotArea>
    </chartFormat>
    <chartFormat chart="1" format="16">
      <pivotArea type="data" outline="0" fieldPosition="0">
        <references count="3">
          <reference field="4294967294" count="1" selected="0">
            <x v="0"/>
          </reference>
          <reference field="0" count="1" selected="0">
            <x v="5"/>
          </reference>
          <reference field="1" count="1" selected="0">
            <x v="0"/>
          </reference>
        </references>
      </pivotArea>
    </chartFormat>
    <chartFormat chart="1" format="17">
      <pivotArea type="data" outline="0" fieldPosition="0">
        <references count="3">
          <reference field="4294967294" count="1" selected="0">
            <x v="0"/>
          </reference>
          <reference field="0" count="1" selected="0">
            <x v="5"/>
          </reference>
          <reference field="1" count="1" selected="0">
            <x v="1"/>
          </reference>
        </references>
      </pivotArea>
    </chartFormat>
    <chartFormat chart="1" format="18">
      <pivotArea type="data" outline="0" fieldPosition="0">
        <references count="3">
          <reference field="4294967294" count="1" selected="0">
            <x v="0"/>
          </reference>
          <reference field="0" count="1" selected="0">
            <x v="5"/>
          </reference>
          <reference field="1" count="1" selected="0">
            <x v="2"/>
          </reference>
        </references>
      </pivotArea>
    </chartFormat>
    <chartFormat chart="1" format="19">
      <pivotArea type="data" outline="0" fieldPosition="0">
        <references count="3">
          <reference field="4294967294" count="1" selected="0">
            <x v="0"/>
          </reference>
          <reference field="0" count="1" selected="0">
            <x v="6"/>
          </reference>
          <reference field="1" count="1" selected="0">
            <x v="0"/>
          </reference>
        </references>
      </pivotArea>
    </chartFormat>
    <chartFormat chart="1" format="20">
      <pivotArea type="data" outline="0" fieldPosition="0">
        <references count="3">
          <reference field="4294967294" count="1" selected="0">
            <x v="0"/>
          </reference>
          <reference field="0" count="1" selected="0">
            <x v="6"/>
          </reference>
          <reference field="1" count="1" selected="0">
            <x v="1"/>
          </reference>
        </references>
      </pivotArea>
    </chartFormat>
    <chartFormat chart="1" format="21">
      <pivotArea type="data" outline="0" fieldPosition="0">
        <references count="3">
          <reference field="4294967294" count="1" selected="0">
            <x v="0"/>
          </reference>
          <reference field="0" count="1" selected="0">
            <x v="6"/>
          </reference>
          <reference field="1" count="1" selected="0">
            <x v="2"/>
          </reference>
        </references>
      </pivotArea>
    </chartFormat>
    <chartFormat chart="1" format="22">
      <pivotArea type="data" outline="0" fieldPosition="0">
        <references count="3">
          <reference field="4294967294" count="1" selected="0">
            <x v="0"/>
          </reference>
          <reference field="0" count="1" selected="0">
            <x v="7"/>
          </reference>
          <reference field="1" count="1" selected="0">
            <x v="0"/>
          </reference>
        </references>
      </pivotArea>
    </chartFormat>
    <chartFormat chart="1" format="23">
      <pivotArea type="data" outline="0" fieldPosition="0">
        <references count="3">
          <reference field="4294967294" count="1" selected="0">
            <x v="0"/>
          </reference>
          <reference field="0" count="1" selected="0">
            <x v="7"/>
          </reference>
          <reference field="1" count="1" selected="0">
            <x v="1"/>
          </reference>
        </references>
      </pivotArea>
    </chartFormat>
    <chartFormat chart="1" format="24">
      <pivotArea type="data" outline="0" fieldPosition="0">
        <references count="3">
          <reference field="4294967294" count="1" selected="0">
            <x v="0"/>
          </reference>
          <reference field="0" count="1" selected="0">
            <x v="7"/>
          </reference>
          <reference field="1" count="1" selected="0">
            <x v="2"/>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irline_ticket_prices_dataset!$A$1:$J$2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10FCBA-BF41-4F57-8B23-CA0BE1E399E3}" name="Table2" displayName="Table2" ref="A1:J251" totalsRowShown="0">
  <autoFilter ref="A1:J251" xr:uid="{C610FCBA-BF41-4F57-8B23-CA0BE1E399E3}"/>
  <tableColumns count="10">
    <tableColumn id="1" xr3:uid="{48FB6858-D443-40EC-928E-6C1AD365CD77}" name="Ticket_ID"/>
    <tableColumn id="2" xr3:uid="{F82876F7-3B6D-4174-AFA6-AF060E4EC66E}" name="Airline"/>
    <tableColumn id="3" xr3:uid="{56E233E5-39DF-434B-AE3B-1ABFCAA72EB6}" name="Origin"/>
    <tableColumn id="4" xr3:uid="{E770A374-2430-4A5C-94C2-92403C4EF104}" name="Destination"/>
    <tableColumn id="5" xr3:uid="{ECACD4FF-7C5B-413D-97B8-274727672526}" name="Distance_km"/>
    <tableColumn id="6" xr3:uid="{D84AFD70-B5C4-4B8E-AEBA-5B42F708BABB}" name="Class"/>
    <tableColumn id="7" xr3:uid="{916E2E2F-9581-4E74-8F1F-10B1E8EC83AF}" name="Days_Before_Departure"/>
    <tableColumn id="8" xr3:uid="{F011C52E-19D0-4398-86B4-17889A5C79D1}" name="Price_USD"/>
    <tableColumn id="9" xr3:uid="{C842DCFA-5E85-48B6-8A4F-7E326C5F26E9}" name="Units_Sold"/>
    <tableColumn id="10" xr3:uid="{71819F5B-CD42-4BFC-BDE1-139CABF1D97F}" name="Revenue_USD">
      <calculatedColumnFormula>H2*I2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148C9-0496-461F-8C4A-5FBABEA7FBC8}">
  <dimension ref="A1:J251"/>
  <sheetViews>
    <sheetView workbookViewId="0">
      <selection activeCell="M6" sqref="M6"/>
    </sheetView>
  </sheetViews>
  <sheetFormatPr defaultRowHeight="14.5" x14ac:dyDescent="0.35"/>
  <cols>
    <col min="2" max="2" width="17.1796875" customWidth="1"/>
    <col min="3" max="3" width="12.6328125" customWidth="1"/>
    <col min="4" max="4" width="11.1796875" customWidth="1"/>
    <col min="7" max="7" width="21.36328125" customWidth="1"/>
    <col min="8" max="8" width="11.6328125" customWidth="1"/>
    <col min="9" max="9" width="11.36328125" customWidth="1"/>
    <col min="10" max="10" width="14.6328125" customWidth="1"/>
  </cols>
  <sheetData>
    <row r="1" spans="1:10" x14ac:dyDescent="0.35">
      <c r="A1" t="s">
        <v>0</v>
      </c>
      <c r="B1" t="s">
        <v>1</v>
      </c>
      <c r="C1" t="s">
        <v>2</v>
      </c>
      <c r="D1" t="s">
        <v>3</v>
      </c>
      <c r="E1" t="s">
        <v>4</v>
      </c>
      <c r="F1" t="s">
        <v>5</v>
      </c>
      <c r="G1" t="s">
        <v>6</v>
      </c>
      <c r="H1" t="s">
        <v>7</v>
      </c>
      <c r="I1" t="s">
        <v>26</v>
      </c>
      <c r="J1" t="s">
        <v>27</v>
      </c>
    </row>
    <row r="2" spans="1:10" x14ac:dyDescent="0.35">
      <c r="A2">
        <v>1</v>
      </c>
      <c r="B2" t="s">
        <v>29</v>
      </c>
      <c r="C2" t="s">
        <v>8</v>
      </c>
      <c r="D2" t="s">
        <v>9</v>
      </c>
      <c r="E2">
        <v>2643</v>
      </c>
      <c r="F2" t="s">
        <v>10</v>
      </c>
      <c r="G2">
        <v>28</v>
      </c>
      <c r="H2">
        <v>555.29999999999995</v>
      </c>
      <c r="I2">
        <v>194</v>
      </c>
      <c r="J2">
        <f>H2*I2</f>
        <v>107728.2</v>
      </c>
    </row>
    <row r="3" spans="1:10" x14ac:dyDescent="0.35">
      <c r="A3">
        <v>11</v>
      </c>
      <c r="B3" t="s">
        <v>29</v>
      </c>
      <c r="C3" t="s">
        <v>8</v>
      </c>
      <c r="D3" t="s">
        <v>23</v>
      </c>
      <c r="E3">
        <v>6328</v>
      </c>
      <c r="F3" t="s">
        <v>18</v>
      </c>
      <c r="G3">
        <v>55</v>
      </c>
      <c r="H3">
        <v>2070.27</v>
      </c>
      <c r="I3">
        <v>102</v>
      </c>
      <c r="J3">
        <f t="shared" ref="J3:J66" si="0">H3*I3</f>
        <v>211167.54</v>
      </c>
    </row>
    <row r="4" spans="1:10" x14ac:dyDescent="0.35">
      <c r="A4">
        <v>16</v>
      </c>
      <c r="B4" t="s">
        <v>29</v>
      </c>
      <c r="C4" t="s">
        <v>9</v>
      </c>
      <c r="D4" t="s">
        <v>20</v>
      </c>
      <c r="E4">
        <v>3864</v>
      </c>
      <c r="F4" t="s">
        <v>18</v>
      </c>
      <c r="G4">
        <v>9</v>
      </c>
      <c r="H4">
        <v>1883.11</v>
      </c>
      <c r="I4">
        <v>17</v>
      </c>
      <c r="J4">
        <f t="shared" si="0"/>
        <v>32012.87</v>
      </c>
    </row>
    <row r="5" spans="1:10" x14ac:dyDescent="0.35">
      <c r="A5">
        <v>19</v>
      </c>
      <c r="B5" t="s">
        <v>29</v>
      </c>
      <c r="C5" t="s">
        <v>17</v>
      </c>
      <c r="D5" t="s">
        <v>8</v>
      </c>
      <c r="E5">
        <v>7444</v>
      </c>
      <c r="F5" t="s">
        <v>18</v>
      </c>
      <c r="G5">
        <v>109</v>
      </c>
      <c r="H5">
        <v>5349.65</v>
      </c>
      <c r="I5">
        <v>121</v>
      </c>
      <c r="J5">
        <f t="shared" si="0"/>
        <v>647307.64999999991</v>
      </c>
    </row>
    <row r="6" spans="1:10" x14ac:dyDescent="0.35">
      <c r="A6">
        <v>23</v>
      </c>
      <c r="B6" t="s">
        <v>29</v>
      </c>
      <c r="C6" t="s">
        <v>12</v>
      </c>
      <c r="D6" t="s">
        <v>23</v>
      </c>
      <c r="E6">
        <v>6192</v>
      </c>
      <c r="F6" t="s">
        <v>14</v>
      </c>
      <c r="G6">
        <v>23</v>
      </c>
      <c r="H6">
        <v>516.19000000000005</v>
      </c>
      <c r="I6">
        <v>26</v>
      </c>
      <c r="J6">
        <f t="shared" si="0"/>
        <v>13420.940000000002</v>
      </c>
    </row>
    <row r="7" spans="1:10" x14ac:dyDescent="0.35">
      <c r="A7">
        <v>27</v>
      </c>
      <c r="B7" t="s">
        <v>29</v>
      </c>
      <c r="C7" t="s">
        <v>12</v>
      </c>
      <c r="D7" t="s">
        <v>24</v>
      </c>
      <c r="E7">
        <v>2880</v>
      </c>
      <c r="F7" t="s">
        <v>10</v>
      </c>
      <c r="G7">
        <v>38</v>
      </c>
      <c r="H7">
        <v>6495.84</v>
      </c>
      <c r="I7">
        <v>146</v>
      </c>
      <c r="J7">
        <f t="shared" si="0"/>
        <v>948392.64</v>
      </c>
    </row>
    <row r="8" spans="1:10" x14ac:dyDescent="0.35">
      <c r="A8">
        <v>30</v>
      </c>
      <c r="B8" t="s">
        <v>29</v>
      </c>
      <c r="C8" t="s">
        <v>13</v>
      </c>
      <c r="D8" t="s">
        <v>20</v>
      </c>
      <c r="E8">
        <v>6248</v>
      </c>
      <c r="F8" t="s">
        <v>14</v>
      </c>
      <c r="G8">
        <v>82</v>
      </c>
      <c r="H8">
        <v>439.16</v>
      </c>
      <c r="I8">
        <v>53</v>
      </c>
      <c r="J8">
        <f t="shared" si="0"/>
        <v>23275.48</v>
      </c>
    </row>
    <row r="9" spans="1:10" x14ac:dyDescent="0.35">
      <c r="A9">
        <v>35</v>
      </c>
      <c r="B9" t="s">
        <v>29</v>
      </c>
      <c r="C9" t="s">
        <v>22</v>
      </c>
      <c r="D9" t="s">
        <v>20</v>
      </c>
      <c r="E9">
        <v>5531</v>
      </c>
      <c r="F9" t="s">
        <v>18</v>
      </c>
      <c r="G9">
        <v>45</v>
      </c>
      <c r="H9">
        <v>2323.31</v>
      </c>
      <c r="I9">
        <v>107</v>
      </c>
      <c r="J9">
        <f t="shared" si="0"/>
        <v>248594.16999999998</v>
      </c>
    </row>
    <row r="10" spans="1:10" x14ac:dyDescent="0.35">
      <c r="A10">
        <v>64</v>
      </c>
      <c r="B10" t="s">
        <v>29</v>
      </c>
      <c r="C10" t="s">
        <v>16</v>
      </c>
      <c r="D10" t="s">
        <v>13</v>
      </c>
      <c r="E10">
        <v>6533</v>
      </c>
      <c r="F10" t="s">
        <v>18</v>
      </c>
      <c r="G10">
        <v>37</v>
      </c>
      <c r="H10">
        <v>3032.38</v>
      </c>
      <c r="I10">
        <v>102</v>
      </c>
      <c r="J10">
        <f t="shared" si="0"/>
        <v>309302.76</v>
      </c>
    </row>
    <row r="11" spans="1:10" x14ac:dyDescent="0.35">
      <c r="A11">
        <v>78</v>
      </c>
      <c r="B11" t="s">
        <v>29</v>
      </c>
      <c r="C11" t="s">
        <v>12</v>
      </c>
      <c r="D11" t="s">
        <v>24</v>
      </c>
      <c r="E11">
        <v>8736</v>
      </c>
      <c r="F11" t="s">
        <v>18</v>
      </c>
      <c r="G11">
        <v>61</v>
      </c>
      <c r="H11">
        <v>2282.17</v>
      </c>
      <c r="I11">
        <v>10</v>
      </c>
      <c r="J11">
        <f t="shared" si="0"/>
        <v>22821.7</v>
      </c>
    </row>
    <row r="12" spans="1:10" x14ac:dyDescent="0.35">
      <c r="A12">
        <v>79</v>
      </c>
      <c r="B12" t="s">
        <v>29</v>
      </c>
      <c r="C12" t="s">
        <v>13</v>
      </c>
      <c r="D12" t="s">
        <v>22</v>
      </c>
      <c r="E12">
        <v>965</v>
      </c>
      <c r="F12" t="s">
        <v>10</v>
      </c>
      <c r="G12">
        <v>8</v>
      </c>
      <c r="H12">
        <v>3257.78</v>
      </c>
      <c r="I12">
        <v>104</v>
      </c>
      <c r="J12">
        <f t="shared" si="0"/>
        <v>338809.12</v>
      </c>
    </row>
    <row r="13" spans="1:10" x14ac:dyDescent="0.35">
      <c r="A13">
        <v>80</v>
      </c>
      <c r="B13" t="s">
        <v>29</v>
      </c>
      <c r="C13" t="s">
        <v>23</v>
      </c>
      <c r="D13" t="s">
        <v>12</v>
      </c>
      <c r="E13">
        <v>8125</v>
      </c>
      <c r="F13" t="s">
        <v>14</v>
      </c>
      <c r="G13">
        <v>3</v>
      </c>
      <c r="H13">
        <v>1404.2</v>
      </c>
      <c r="I13">
        <v>129</v>
      </c>
      <c r="J13">
        <f t="shared" si="0"/>
        <v>181141.80000000002</v>
      </c>
    </row>
    <row r="14" spans="1:10" x14ac:dyDescent="0.35">
      <c r="A14">
        <v>83</v>
      </c>
      <c r="B14" t="s">
        <v>29</v>
      </c>
      <c r="C14" t="s">
        <v>22</v>
      </c>
      <c r="D14" t="s">
        <v>16</v>
      </c>
      <c r="E14">
        <v>6644</v>
      </c>
      <c r="F14" t="s">
        <v>18</v>
      </c>
      <c r="G14">
        <v>110</v>
      </c>
      <c r="H14">
        <v>632.41999999999996</v>
      </c>
      <c r="I14">
        <v>88</v>
      </c>
      <c r="J14">
        <f t="shared" si="0"/>
        <v>55652.959999999999</v>
      </c>
    </row>
    <row r="15" spans="1:10" x14ac:dyDescent="0.35">
      <c r="A15">
        <v>101</v>
      </c>
      <c r="B15" t="s">
        <v>29</v>
      </c>
      <c r="C15" t="s">
        <v>23</v>
      </c>
      <c r="D15" t="s">
        <v>22</v>
      </c>
      <c r="E15">
        <v>10818</v>
      </c>
      <c r="F15" t="s">
        <v>10</v>
      </c>
      <c r="G15">
        <v>25</v>
      </c>
      <c r="H15">
        <v>1485.53</v>
      </c>
      <c r="I15">
        <v>146</v>
      </c>
      <c r="J15">
        <f t="shared" si="0"/>
        <v>216887.38</v>
      </c>
    </row>
    <row r="16" spans="1:10" x14ac:dyDescent="0.35">
      <c r="A16">
        <v>112</v>
      </c>
      <c r="B16" t="s">
        <v>29</v>
      </c>
      <c r="C16" t="s">
        <v>22</v>
      </c>
      <c r="D16" t="s">
        <v>24</v>
      </c>
      <c r="E16">
        <v>8949</v>
      </c>
      <c r="F16" t="s">
        <v>18</v>
      </c>
      <c r="G16">
        <v>39</v>
      </c>
      <c r="H16">
        <v>2210.16</v>
      </c>
      <c r="I16">
        <v>194</v>
      </c>
      <c r="J16">
        <f t="shared" si="0"/>
        <v>428771.04</v>
      </c>
    </row>
    <row r="17" spans="1:10" x14ac:dyDescent="0.35">
      <c r="A17">
        <v>114</v>
      </c>
      <c r="B17" t="s">
        <v>29</v>
      </c>
      <c r="C17" t="s">
        <v>24</v>
      </c>
      <c r="D17" t="s">
        <v>9</v>
      </c>
      <c r="E17">
        <v>5301</v>
      </c>
      <c r="F17" t="s">
        <v>10</v>
      </c>
      <c r="G17">
        <v>114</v>
      </c>
      <c r="H17">
        <v>2895.64</v>
      </c>
      <c r="I17">
        <v>125</v>
      </c>
      <c r="J17">
        <f t="shared" si="0"/>
        <v>361955</v>
      </c>
    </row>
    <row r="18" spans="1:10" x14ac:dyDescent="0.35">
      <c r="A18">
        <v>118</v>
      </c>
      <c r="B18" t="s">
        <v>29</v>
      </c>
      <c r="C18" t="s">
        <v>20</v>
      </c>
      <c r="D18" t="s">
        <v>13</v>
      </c>
      <c r="E18">
        <v>7499</v>
      </c>
      <c r="F18" t="s">
        <v>10</v>
      </c>
      <c r="G18">
        <v>3</v>
      </c>
      <c r="H18">
        <v>1334.79</v>
      </c>
      <c r="I18">
        <v>117</v>
      </c>
      <c r="J18">
        <f t="shared" si="0"/>
        <v>156170.43</v>
      </c>
    </row>
    <row r="19" spans="1:10" x14ac:dyDescent="0.35">
      <c r="A19">
        <v>120</v>
      </c>
      <c r="B19" t="s">
        <v>29</v>
      </c>
      <c r="C19" t="s">
        <v>24</v>
      </c>
      <c r="D19" t="s">
        <v>13</v>
      </c>
      <c r="E19">
        <v>5106</v>
      </c>
      <c r="F19" t="s">
        <v>18</v>
      </c>
      <c r="G19">
        <v>50</v>
      </c>
      <c r="H19">
        <v>1929.27</v>
      </c>
      <c r="I19">
        <v>11</v>
      </c>
      <c r="J19">
        <f t="shared" si="0"/>
        <v>21221.97</v>
      </c>
    </row>
    <row r="20" spans="1:10" x14ac:dyDescent="0.35">
      <c r="A20">
        <v>122</v>
      </c>
      <c r="B20" t="s">
        <v>29</v>
      </c>
      <c r="C20" t="s">
        <v>17</v>
      </c>
      <c r="D20" t="s">
        <v>12</v>
      </c>
      <c r="E20">
        <v>2195</v>
      </c>
      <c r="F20" t="s">
        <v>10</v>
      </c>
      <c r="G20">
        <v>97</v>
      </c>
      <c r="H20">
        <v>2807.81</v>
      </c>
      <c r="I20">
        <v>116</v>
      </c>
      <c r="J20">
        <f t="shared" si="0"/>
        <v>325705.96000000002</v>
      </c>
    </row>
    <row r="21" spans="1:10" x14ac:dyDescent="0.35">
      <c r="A21">
        <v>128</v>
      </c>
      <c r="B21" t="s">
        <v>29</v>
      </c>
      <c r="C21" t="s">
        <v>9</v>
      </c>
      <c r="D21" t="s">
        <v>12</v>
      </c>
      <c r="E21">
        <v>7129</v>
      </c>
      <c r="F21" t="s">
        <v>18</v>
      </c>
      <c r="G21">
        <v>63</v>
      </c>
      <c r="H21">
        <v>7601</v>
      </c>
      <c r="I21">
        <v>12</v>
      </c>
      <c r="J21">
        <f t="shared" si="0"/>
        <v>91212</v>
      </c>
    </row>
    <row r="22" spans="1:10" x14ac:dyDescent="0.35">
      <c r="A22">
        <v>134</v>
      </c>
      <c r="B22" t="s">
        <v>29</v>
      </c>
      <c r="C22" t="s">
        <v>13</v>
      </c>
      <c r="D22" t="s">
        <v>24</v>
      </c>
      <c r="E22">
        <v>4205</v>
      </c>
      <c r="F22" t="s">
        <v>10</v>
      </c>
      <c r="G22">
        <v>49</v>
      </c>
      <c r="H22">
        <v>7698.07</v>
      </c>
      <c r="I22">
        <v>93</v>
      </c>
      <c r="J22">
        <f t="shared" si="0"/>
        <v>715920.51</v>
      </c>
    </row>
    <row r="23" spans="1:10" x14ac:dyDescent="0.35">
      <c r="A23">
        <v>135</v>
      </c>
      <c r="B23" t="s">
        <v>29</v>
      </c>
      <c r="C23" t="s">
        <v>9</v>
      </c>
      <c r="D23" t="s">
        <v>24</v>
      </c>
      <c r="E23">
        <v>9160</v>
      </c>
      <c r="F23" t="s">
        <v>10</v>
      </c>
      <c r="G23">
        <v>12</v>
      </c>
      <c r="H23">
        <v>790.36</v>
      </c>
      <c r="I23">
        <v>183</v>
      </c>
      <c r="J23">
        <f t="shared" si="0"/>
        <v>144635.88</v>
      </c>
    </row>
    <row r="24" spans="1:10" x14ac:dyDescent="0.35">
      <c r="A24">
        <v>141</v>
      </c>
      <c r="B24" t="s">
        <v>29</v>
      </c>
      <c r="C24" t="s">
        <v>16</v>
      </c>
      <c r="D24" t="s">
        <v>17</v>
      </c>
      <c r="E24">
        <v>10709</v>
      </c>
      <c r="F24" t="s">
        <v>14</v>
      </c>
      <c r="G24">
        <v>7</v>
      </c>
      <c r="H24">
        <v>2675.72</v>
      </c>
      <c r="I24">
        <v>180</v>
      </c>
      <c r="J24">
        <f t="shared" si="0"/>
        <v>481629.6</v>
      </c>
    </row>
    <row r="25" spans="1:10" x14ac:dyDescent="0.35">
      <c r="A25">
        <v>146</v>
      </c>
      <c r="B25" t="s">
        <v>29</v>
      </c>
      <c r="C25" t="s">
        <v>24</v>
      </c>
      <c r="D25" t="s">
        <v>20</v>
      </c>
      <c r="E25">
        <v>4529</v>
      </c>
      <c r="F25" t="s">
        <v>14</v>
      </c>
      <c r="G25">
        <v>30</v>
      </c>
      <c r="H25">
        <v>185.7</v>
      </c>
      <c r="I25">
        <v>122</v>
      </c>
      <c r="J25">
        <f t="shared" si="0"/>
        <v>22655.399999999998</v>
      </c>
    </row>
    <row r="26" spans="1:10" x14ac:dyDescent="0.35">
      <c r="A26">
        <v>149</v>
      </c>
      <c r="B26" t="s">
        <v>29</v>
      </c>
      <c r="C26" t="s">
        <v>13</v>
      </c>
      <c r="D26" t="s">
        <v>20</v>
      </c>
      <c r="E26">
        <v>2927</v>
      </c>
      <c r="F26" t="s">
        <v>10</v>
      </c>
      <c r="G26">
        <v>71</v>
      </c>
      <c r="H26">
        <v>876.97</v>
      </c>
      <c r="I26">
        <v>151</v>
      </c>
      <c r="J26">
        <f t="shared" si="0"/>
        <v>132422.47</v>
      </c>
    </row>
    <row r="27" spans="1:10" x14ac:dyDescent="0.35">
      <c r="A27">
        <v>158</v>
      </c>
      <c r="B27" t="s">
        <v>29</v>
      </c>
      <c r="C27" t="s">
        <v>24</v>
      </c>
      <c r="D27" t="s">
        <v>17</v>
      </c>
      <c r="E27">
        <v>11771</v>
      </c>
      <c r="F27" t="s">
        <v>14</v>
      </c>
      <c r="G27">
        <v>116</v>
      </c>
      <c r="H27">
        <v>1029.8699999999999</v>
      </c>
      <c r="I27">
        <v>100</v>
      </c>
      <c r="J27">
        <f t="shared" si="0"/>
        <v>102986.99999999999</v>
      </c>
    </row>
    <row r="28" spans="1:10" x14ac:dyDescent="0.35">
      <c r="A28">
        <v>171</v>
      </c>
      <c r="B28" t="s">
        <v>29</v>
      </c>
      <c r="C28" t="s">
        <v>22</v>
      </c>
      <c r="D28" t="s">
        <v>16</v>
      </c>
      <c r="E28">
        <v>9131</v>
      </c>
      <c r="F28" t="s">
        <v>18</v>
      </c>
      <c r="G28">
        <v>115</v>
      </c>
      <c r="H28">
        <v>507.24</v>
      </c>
      <c r="I28">
        <v>195</v>
      </c>
      <c r="J28">
        <f t="shared" si="0"/>
        <v>98911.8</v>
      </c>
    </row>
    <row r="29" spans="1:10" x14ac:dyDescent="0.35">
      <c r="A29">
        <v>216</v>
      </c>
      <c r="B29" t="s">
        <v>29</v>
      </c>
      <c r="C29" t="s">
        <v>9</v>
      </c>
      <c r="D29" t="s">
        <v>17</v>
      </c>
      <c r="E29">
        <v>11094</v>
      </c>
      <c r="F29" t="s">
        <v>18</v>
      </c>
      <c r="G29">
        <v>85</v>
      </c>
      <c r="H29">
        <v>1234.43</v>
      </c>
      <c r="I29">
        <v>194</v>
      </c>
      <c r="J29">
        <f t="shared" si="0"/>
        <v>239479.42</v>
      </c>
    </row>
    <row r="30" spans="1:10" x14ac:dyDescent="0.35">
      <c r="A30">
        <v>235</v>
      </c>
      <c r="B30" t="s">
        <v>29</v>
      </c>
      <c r="C30" t="s">
        <v>17</v>
      </c>
      <c r="D30" t="s">
        <v>13</v>
      </c>
      <c r="E30">
        <v>5058</v>
      </c>
      <c r="F30" t="s">
        <v>18</v>
      </c>
      <c r="G30">
        <v>65</v>
      </c>
      <c r="H30">
        <v>682.12</v>
      </c>
      <c r="I30">
        <v>104</v>
      </c>
      <c r="J30">
        <f t="shared" si="0"/>
        <v>70940.479999999996</v>
      </c>
    </row>
    <row r="31" spans="1:10" x14ac:dyDescent="0.35">
      <c r="A31">
        <v>238</v>
      </c>
      <c r="B31" t="s">
        <v>29</v>
      </c>
      <c r="C31" t="s">
        <v>8</v>
      </c>
      <c r="D31" t="s">
        <v>23</v>
      </c>
      <c r="E31">
        <v>4433</v>
      </c>
      <c r="F31" t="s">
        <v>10</v>
      </c>
      <c r="G31">
        <v>76</v>
      </c>
      <c r="H31">
        <v>1613.13</v>
      </c>
      <c r="I31">
        <v>39</v>
      </c>
      <c r="J31">
        <f t="shared" si="0"/>
        <v>62912.070000000007</v>
      </c>
    </row>
    <row r="32" spans="1:10" x14ac:dyDescent="0.35">
      <c r="A32">
        <v>241</v>
      </c>
      <c r="B32" t="s">
        <v>29</v>
      </c>
      <c r="C32" t="s">
        <v>12</v>
      </c>
      <c r="D32" t="s">
        <v>22</v>
      </c>
      <c r="E32">
        <v>3516</v>
      </c>
      <c r="F32" t="s">
        <v>10</v>
      </c>
      <c r="G32">
        <v>6</v>
      </c>
      <c r="H32">
        <v>5746.4</v>
      </c>
      <c r="I32">
        <v>36</v>
      </c>
      <c r="J32">
        <f t="shared" si="0"/>
        <v>206870.39999999999</v>
      </c>
    </row>
    <row r="33" spans="1:10" x14ac:dyDescent="0.35">
      <c r="A33">
        <v>248</v>
      </c>
      <c r="B33" t="s">
        <v>29</v>
      </c>
      <c r="C33" t="s">
        <v>22</v>
      </c>
      <c r="D33" t="s">
        <v>20</v>
      </c>
      <c r="E33">
        <v>7396</v>
      </c>
      <c r="F33" t="s">
        <v>14</v>
      </c>
      <c r="G33">
        <v>34</v>
      </c>
      <c r="H33">
        <v>644.19000000000005</v>
      </c>
      <c r="I33">
        <v>117</v>
      </c>
      <c r="J33">
        <f t="shared" si="0"/>
        <v>75370.23000000001</v>
      </c>
    </row>
    <row r="34" spans="1:10" x14ac:dyDescent="0.35">
      <c r="A34">
        <v>3</v>
      </c>
      <c r="B34" t="s">
        <v>15</v>
      </c>
      <c r="C34" t="s">
        <v>16</v>
      </c>
      <c r="D34" t="s">
        <v>17</v>
      </c>
      <c r="E34">
        <v>2698</v>
      </c>
      <c r="F34" t="s">
        <v>18</v>
      </c>
      <c r="G34">
        <v>21</v>
      </c>
      <c r="H34">
        <v>3606.08</v>
      </c>
      <c r="I34">
        <v>134</v>
      </c>
      <c r="J34">
        <f t="shared" si="0"/>
        <v>483214.72</v>
      </c>
    </row>
    <row r="35" spans="1:10" x14ac:dyDescent="0.35">
      <c r="A35">
        <v>22</v>
      </c>
      <c r="B35" t="s">
        <v>15</v>
      </c>
      <c r="C35" t="s">
        <v>20</v>
      </c>
      <c r="D35" t="s">
        <v>23</v>
      </c>
      <c r="E35">
        <v>1430</v>
      </c>
      <c r="F35" t="s">
        <v>14</v>
      </c>
      <c r="G35">
        <v>3</v>
      </c>
      <c r="H35">
        <v>815.27</v>
      </c>
      <c r="I35">
        <v>97</v>
      </c>
      <c r="J35">
        <f t="shared" si="0"/>
        <v>79081.19</v>
      </c>
    </row>
    <row r="36" spans="1:10" x14ac:dyDescent="0.35">
      <c r="A36">
        <v>28</v>
      </c>
      <c r="B36" t="s">
        <v>15</v>
      </c>
      <c r="C36" t="s">
        <v>17</v>
      </c>
      <c r="D36" t="s">
        <v>16</v>
      </c>
      <c r="E36">
        <v>10297</v>
      </c>
      <c r="F36" t="s">
        <v>10</v>
      </c>
      <c r="G36">
        <v>93</v>
      </c>
      <c r="H36">
        <v>3229.28</v>
      </c>
      <c r="I36">
        <v>63</v>
      </c>
      <c r="J36">
        <f t="shared" si="0"/>
        <v>203444.64</v>
      </c>
    </row>
    <row r="37" spans="1:10" x14ac:dyDescent="0.35">
      <c r="A37">
        <v>37</v>
      </c>
      <c r="B37" t="s">
        <v>15</v>
      </c>
      <c r="C37" t="s">
        <v>9</v>
      </c>
      <c r="D37" t="s">
        <v>22</v>
      </c>
      <c r="E37">
        <v>8180</v>
      </c>
      <c r="F37" t="s">
        <v>14</v>
      </c>
      <c r="G37">
        <v>40</v>
      </c>
      <c r="H37">
        <v>552.54</v>
      </c>
      <c r="I37">
        <v>19</v>
      </c>
      <c r="J37">
        <f t="shared" si="0"/>
        <v>10498.259999999998</v>
      </c>
    </row>
    <row r="38" spans="1:10" x14ac:dyDescent="0.35">
      <c r="A38">
        <v>41</v>
      </c>
      <c r="B38" t="s">
        <v>15</v>
      </c>
      <c r="C38" t="s">
        <v>13</v>
      </c>
      <c r="D38" t="s">
        <v>9</v>
      </c>
      <c r="E38">
        <v>8451</v>
      </c>
      <c r="F38" t="s">
        <v>18</v>
      </c>
      <c r="G38">
        <v>4</v>
      </c>
      <c r="H38">
        <v>3088.65</v>
      </c>
      <c r="I38">
        <v>154</v>
      </c>
      <c r="J38">
        <f t="shared" si="0"/>
        <v>475652.10000000003</v>
      </c>
    </row>
    <row r="39" spans="1:10" x14ac:dyDescent="0.35">
      <c r="A39">
        <v>46</v>
      </c>
      <c r="B39" t="s">
        <v>15</v>
      </c>
      <c r="C39" t="s">
        <v>16</v>
      </c>
      <c r="D39" t="s">
        <v>9</v>
      </c>
      <c r="E39">
        <v>2652</v>
      </c>
      <c r="F39" t="s">
        <v>10</v>
      </c>
      <c r="G39">
        <v>39</v>
      </c>
      <c r="H39">
        <v>1142.3699999999999</v>
      </c>
      <c r="I39">
        <v>174</v>
      </c>
      <c r="J39">
        <f t="shared" si="0"/>
        <v>198772.37999999998</v>
      </c>
    </row>
    <row r="40" spans="1:10" x14ac:dyDescent="0.35">
      <c r="A40">
        <v>48</v>
      </c>
      <c r="B40" t="s">
        <v>15</v>
      </c>
      <c r="C40" t="s">
        <v>20</v>
      </c>
      <c r="D40" t="s">
        <v>9</v>
      </c>
      <c r="E40">
        <v>3448</v>
      </c>
      <c r="F40" t="s">
        <v>10</v>
      </c>
      <c r="G40">
        <v>15</v>
      </c>
      <c r="H40">
        <v>844.79</v>
      </c>
      <c r="I40">
        <v>134</v>
      </c>
      <c r="J40">
        <f t="shared" si="0"/>
        <v>113201.86</v>
      </c>
    </row>
    <row r="41" spans="1:10" x14ac:dyDescent="0.35">
      <c r="A41">
        <v>57</v>
      </c>
      <c r="B41" t="s">
        <v>15</v>
      </c>
      <c r="C41" t="s">
        <v>9</v>
      </c>
      <c r="D41" t="s">
        <v>22</v>
      </c>
      <c r="E41">
        <v>1062</v>
      </c>
      <c r="F41" t="s">
        <v>14</v>
      </c>
      <c r="G41">
        <v>26</v>
      </c>
      <c r="H41">
        <v>504.74</v>
      </c>
      <c r="I41">
        <v>89</v>
      </c>
      <c r="J41">
        <f t="shared" si="0"/>
        <v>44921.86</v>
      </c>
    </row>
    <row r="42" spans="1:10" x14ac:dyDescent="0.35">
      <c r="A42">
        <v>60</v>
      </c>
      <c r="B42" t="s">
        <v>15</v>
      </c>
      <c r="C42" t="s">
        <v>13</v>
      </c>
      <c r="D42" t="s">
        <v>9</v>
      </c>
      <c r="E42">
        <v>4868</v>
      </c>
      <c r="F42" t="s">
        <v>18</v>
      </c>
      <c r="G42">
        <v>81</v>
      </c>
      <c r="H42">
        <v>6581.19</v>
      </c>
      <c r="I42">
        <v>135</v>
      </c>
      <c r="J42">
        <f t="shared" si="0"/>
        <v>888460.64999999991</v>
      </c>
    </row>
    <row r="43" spans="1:10" x14ac:dyDescent="0.35">
      <c r="A43">
        <v>65</v>
      </c>
      <c r="B43" t="s">
        <v>15</v>
      </c>
      <c r="C43" t="s">
        <v>17</v>
      </c>
      <c r="D43" t="s">
        <v>9</v>
      </c>
      <c r="E43">
        <v>8616</v>
      </c>
      <c r="F43" t="s">
        <v>14</v>
      </c>
      <c r="G43">
        <v>87</v>
      </c>
      <c r="H43">
        <v>1934.15</v>
      </c>
      <c r="I43">
        <v>82</v>
      </c>
      <c r="J43">
        <f t="shared" si="0"/>
        <v>158600.30000000002</v>
      </c>
    </row>
    <row r="44" spans="1:10" x14ac:dyDescent="0.35">
      <c r="A44">
        <v>71</v>
      </c>
      <c r="B44" t="s">
        <v>15</v>
      </c>
      <c r="C44" t="s">
        <v>23</v>
      </c>
      <c r="D44" t="s">
        <v>17</v>
      </c>
      <c r="E44">
        <v>3485</v>
      </c>
      <c r="F44" t="s">
        <v>10</v>
      </c>
      <c r="G44">
        <v>95</v>
      </c>
      <c r="H44">
        <v>3977.68</v>
      </c>
      <c r="I44">
        <v>17</v>
      </c>
      <c r="J44">
        <f t="shared" si="0"/>
        <v>67620.56</v>
      </c>
    </row>
    <row r="45" spans="1:10" x14ac:dyDescent="0.35">
      <c r="A45">
        <v>81</v>
      </c>
      <c r="B45" t="s">
        <v>15</v>
      </c>
      <c r="C45" t="s">
        <v>13</v>
      </c>
      <c r="D45" t="s">
        <v>16</v>
      </c>
      <c r="E45">
        <v>10236</v>
      </c>
      <c r="F45" t="s">
        <v>10</v>
      </c>
      <c r="G45">
        <v>13</v>
      </c>
      <c r="H45">
        <v>1086.8900000000001</v>
      </c>
      <c r="I45">
        <v>37</v>
      </c>
      <c r="J45">
        <f t="shared" si="0"/>
        <v>40214.93</v>
      </c>
    </row>
    <row r="46" spans="1:10" x14ac:dyDescent="0.35">
      <c r="A46">
        <v>91</v>
      </c>
      <c r="B46" t="s">
        <v>15</v>
      </c>
      <c r="C46" t="s">
        <v>8</v>
      </c>
      <c r="D46" t="s">
        <v>9</v>
      </c>
      <c r="E46">
        <v>5613</v>
      </c>
      <c r="F46" t="s">
        <v>14</v>
      </c>
      <c r="G46">
        <v>30</v>
      </c>
      <c r="H46">
        <v>280.23</v>
      </c>
      <c r="I46">
        <v>158</v>
      </c>
      <c r="J46">
        <f t="shared" si="0"/>
        <v>44276.340000000004</v>
      </c>
    </row>
    <row r="47" spans="1:10" x14ac:dyDescent="0.35">
      <c r="A47">
        <v>92</v>
      </c>
      <c r="B47" t="s">
        <v>15</v>
      </c>
      <c r="C47" t="s">
        <v>23</v>
      </c>
      <c r="D47" t="s">
        <v>13</v>
      </c>
      <c r="E47">
        <v>10446</v>
      </c>
      <c r="F47" t="s">
        <v>14</v>
      </c>
      <c r="G47">
        <v>40</v>
      </c>
      <c r="H47">
        <v>533.61</v>
      </c>
      <c r="I47">
        <v>99</v>
      </c>
      <c r="J47">
        <f t="shared" si="0"/>
        <v>52827.39</v>
      </c>
    </row>
    <row r="48" spans="1:10" x14ac:dyDescent="0.35">
      <c r="A48">
        <v>99</v>
      </c>
      <c r="B48" t="s">
        <v>15</v>
      </c>
      <c r="C48" t="s">
        <v>8</v>
      </c>
      <c r="D48" t="s">
        <v>20</v>
      </c>
      <c r="E48">
        <v>1168</v>
      </c>
      <c r="F48" t="s">
        <v>10</v>
      </c>
      <c r="G48">
        <v>27</v>
      </c>
      <c r="H48">
        <v>2267.1799999999998</v>
      </c>
      <c r="I48">
        <v>199</v>
      </c>
      <c r="J48">
        <f t="shared" si="0"/>
        <v>451168.81999999995</v>
      </c>
    </row>
    <row r="49" spans="1:10" x14ac:dyDescent="0.35">
      <c r="A49">
        <v>102</v>
      </c>
      <c r="B49" t="s">
        <v>15</v>
      </c>
      <c r="C49" t="s">
        <v>8</v>
      </c>
      <c r="D49" t="s">
        <v>24</v>
      </c>
      <c r="E49">
        <v>8838</v>
      </c>
      <c r="F49" t="s">
        <v>10</v>
      </c>
      <c r="G49">
        <v>62</v>
      </c>
      <c r="H49">
        <v>863.15</v>
      </c>
      <c r="I49">
        <v>83</v>
      </c>
      <c r="J49">
        <f t="shared" si="0"/>
        <v>71641.45</v>
      </c>
    </row>
    <row r="50" spans="1:10" x14ac:dyDescent="0.35">
      <c r="A50">
        <v>113</v>
      </c>
      <c r="B50" t="s">
        <v>15</v>
      </c>
      <c r="C50" t="s">
        <v>12</v>
      </c>
      <c r="D50" t="s">
        <v>16</v>
      </c>
      <c r="E50">
        <v>7074</v>
      </c>
      <c r="F50" t="s">
        <v>18</v>
      </c>
      <c r="G50">
        <v>97</v>
      </c>
      <c r="H50">
        <v>522.34</v>
      </c>
      <c r="I50">
        <v>49</v>
      </c>
      <c r="J50">
        <f t="shared" si="0"/>
        <v>25594.66</v>
      </c>
    </row>
    <row r="51" spans="1:10" x14ac:dyDescent="0.35">
      <c r="A51">
        <v>125</v>
      </c>
      <c r="B51" t="s">
        <v>15</v>
      </c>
      <c r="C51" t="s">
        <v>12</v>
      </c>
      <c r="D51" t="s">
        <v>24</v>
      </c>
      <c r="E51">
        <v>4168</v>
      </c>
      <c r="F51" t="s">
        <v>14</v>
      </c>
      <c r="G51">
        <v>7</v>
      </c>
      <c r="H51">
        <v>907.58</v>
      </c>
      <c r="I51">
        <v>34</v>
      </c>
      <c r="J51">
        <f t="shared" si="0"/>
        <v>30857.72</v>
      </c>
    </row>
    <row r="52" spans="1:10" x14ac:dyDescent="0.35">
      <c r="A52">
        <v>127</v>
      </c>
      <c r="B52" t="s">
        <v>15</v>
      </c>
      <c r="C52" t="s">
        <v>22</v>
      </c>
      <c r="D52" t="s">
        <v>17</v>
      </c>
      <c r="E52">
        <v>5010</v>
      </c>
      <c r="F52" t="s">
        <v>18</v>
      </c>
      <c r="G52">
        <v>106</v>
      </c>
      <c r="H52">
        <v>4532.22</v>
      </c>
      <c r="I52">
        <v>57</v>
      </c>
      <c r="J52">
        <f t="shared" si="0"/>
        <v>258336.54</v>
      </c>
    </row>
    <row r="53" spans="1:10" x14ac:dyDescent="0.35">
      <c r="A53">
        <v>137</v>
      </c>
      <c r="B53" t="s">
        <v>15</v>
      </c>
      <c r="C53" t="s">
        <v>24</v>
      </c>
      <c r="D53" t="s">
        <v>17</v>
      </c>
      <c r="E53">
        <v>4918</v>
      </c>
      <c r="F53" t="s">
        <v>10</v>
      </c>
      <c r="G53">
        <v>101</v>
      </c>
      <c r="H53">
        <v>988.75</v>
      </c>
      <c r="I53">
        <v>156</v>
      </c>
      <c r="J53">
        <f t="shared" si="0"/>
        <v>154245</v>
      </c>
    </row>
    <row r="54" spans="1:10" x14ac:dyDescent="0.35">
      <c r="A54">
        <v>159</v>
      </c>
      <c r="B54" t="s">
        <v>15</v>
      </c>
      <c r="C54" t="s">
        <v>20</v>
      </c>
      <c r="D54" t="s">
        <v>17</v>
      </c>
      <c r="E54">
        <v>4772</v>
      </c>
      <c r="F54" t="s">
        <v>10</v>
      </c>
      <c r="G54">
        <v>82</v>
      </c>
      <c r="H54">
        <v>717.41</v>
      </c>
      <c r="I54">
        <v>148</v>
      </c>
      <c r="J54">
        <f t="shared" si="0"/>
        <v>106176.68</v>
      </c>
    </row>
    <row r="55" spans="1:10" x14ac:dyDescent="0.35">
      <c r="A55">
        <v>160</v>
      </c>
      <c r="B55" t="s">
        <v>15</v>
      </c>
      <c r="C55" t="s">
        <v>20</v>
      </c>
      <c r="D55" t="s">
        <v>17</v>
      </c>
      <c r="E55">
        <v>5319</v>
      </c>
      <c r="F55" t="s">
        <v>10</v>
      </c>
      <c r="G55">
        <v>15</v>
      </c>
      <c r="H55">
        <v>2704.53</v>
      </c>
      <c r="I55">
        <v>82</v>
      </c>
      <c r="J55">
        <f t="shared" si="0"/>
        <v>221771.46000000002</v>
      </c>
    </row>
    <row r="56" spans="1:10" x14ac:dyDescent="0.35">
      <c r="A56">
        <v>162</v>
      </c>
      <c r="B56" t="s">
        <v>15</v>
      </c>
      <c r="C56" t="s">
        <v>17</v>
      </c>
      <c r="D56" t="s">
        <v>23</v>
      </c>
      <c r="E56">
        <v>9279</v>
      </c>
      <c r="F56" t="s">
        <v>18</v>
      </c>
      <c r="G56">
        <v>98</v>
      </c>
      <c r="H56">
        <v>711.26</v>
      </c>
      <c r="I56">
        <v>195</v>
      </c>
      <c r="J56">
        <f t="shared" si="0"/>
        <v>138695.70000000001</v>
      </c>
    </row>
    <row r="57" spans="1:10" x14ac:dyDescent="0.35">
      <c r="A57">
        <v>167</v>
      </c>
      <c r="B57" t="s">
        <v>15</v>
      </c>
      <c r="C57" t="s">
        <v>23</v>
      </c>
      <c r="D57" t="s">
        <v>24</v>
      </c>
      <c r="E57">
        <v>5059</v>
      </c>
      <c r="F57" t="s">
        <v>14</v>
      </c>
      <c r="G57">
        <v>3</v>
      </c>
      <c r="H57">
        <v>1407.07</v>
      </c>
      <c r="I57">
        <v>57</v>
      </c>
      <c r="J57">
        <f t="shared" si="0"/>
        <v>80202.989999999991</v>
      </c>
    </row>
    <row r="58" spans="1:10" x14ac:dyDescent="0.35">
      <c r="A58">
        <v>170</v>
      </c>
      <c r="B58" t="s">
        <v>15</v>
      </c>
      <c r="C58" t="s">
        <v>20</v>
      </c>
      <c r="D58" t="s">
        <v>13</v>
      </c>
      <c r="E58">
        <v>9263</v>
      </c>
      <c r="F58" t="s">
        <v>18</v>
      </c>
      <c r="G58">
        <v>20</v>
      </c>
      <c r="H58">
        <v>556.44000000000005</v>
      </c>
      <c r="I58">
        <v>9</v>
      </c>
      <c r="J58">
        <f t="shared" si="0"/>
        <v>5007.9600000000009</v>
      </c>
    </row>
    <row r="59" spans="1:10" x14ac:dyDescent="0.35">
      <c r="A59">
        <v>184</v>
      </c>
      <c r="B59" t="s">
        <v>15</v>
      </c>
      <c r="C59" t="s">
        <v>23</v>
      </c>
      <c r="D59" t="s">
        <v>20</v>
      </c>
      <c r="E59">
        <v>903</v>
      </c>
      <c r="F59" t="s">
        <v>18</v>
      </c>
      <c r="G59">
        <v>52</v>
      </c>
      <c r="H59">
        <v>3786.09</v>
      </c>
      <c r="I59">
        <v>147</v>
      </c>
      <c r="J59">
        <f t="shared" si="0"/>
        <v>556555.23</v>
      </c>
    </row>
    <row r="60" spans="1:10" x14ac:dyDescent="0.35">
      <c r="A60">
        <v>190</v>
      </c>
      <c r="B60" t="s">
        <v>15</v>
      </c>
      <c r="C60" t="s">
        <v>22</v>
      </c>
      <c r="D60" t="s">
        <v>13</v>
      </c>
      <c r="E60">
        <v>10590</v>
      </c>
      <c r="F60" t="s">
        <v>18</v>
      </c>
      <c r="G60">
        <v>30</v>
      </c>
      <c r="H60">
        <v>134.76</v>
      </c>
      <c r="I60">
        <v>163</v>
      </c>
      <c r="J60">
        <f t="shared" si="0"/>
        <v>21965.879999999997</v>
      </c>
    </row>
    <row r="61" spans="1:10" x14ac:dyDescent="0.35">
      <c r="A61">
        <v>193</v>
      </c>
      <c r="B61" t="s">
        <v>15</v>
      </c>
      <c r="C61" t="s">
        <v>9</v>
      </c>
      <c r="D61" t="s">
        <v>12</v>
      </c>
      <c r="E61">
        <v>7993</v>
      </c>
      <c r="F61" t="s">
        <v>10</v>
      </c>
      <c r="G61">
        <v>55</v>
      </c>
      <c r="H61">
        <v>1952.84</v>
      </c>
      <c r="I61">
        <v>61</v>
      </c>
      <c r="J61">
        <f t="shared" si="0"/>
        <v>119123.23999999999</v>
      </c>
    </row>
    <row r="62" spans="1:10" x14ac:dyDescent="0.35">
      <c r="A62">
        <v>203</v>
      </c>
      <c r="B62" t="s">
        <v>15</v>
      </c>
      <c r="C62" t="s">
        <v>20</v>
      </c>
      <c r="D62" t="s">
        <v>12</v>
      </c>
      <c r="E62">
        <v>637</v>
      </c>
      <c r="F62" t="s">
        <v>14</v>
      </c>
      <c r="G62">
        <v>115</v>
      </c>
      <c r="H62">
        <v>8559.08</v>
      </c>
      <c r="I62">
        <v>159</v>
      </c>
      <c r="J62">
        <f t="shared" si="0"/>
        <v>1360893.72</v>
      </c>
    </row>
    <row r="63" spans="1:10" x14ac:dyDescent="0.35">
      <c r="A63">
        <v>204</v>
      </c>
      <c r="B63" t="s">
        <v>15</v>
      </c>
      <c r="C63" t="s">
        <v>17</v>
      </c>
      <c r="D63" t="s">
        <v>23</v>
      </c>
      <c r="E63">
        <v>2639</v>
      </c>
      <c r="F63" t="s">
        <v>18</v>
      </c>
      <c r="G63">
        <v>54</v>
      </c>
      <c r="H63">
        <v>2912.55</v>
      </c>
      <c r="I63">
        <v>149</v>
      </c>
      <c r="J63">
        <f t="shared" si="0"/>
        <v>433969.95</v>
      </c>
    </row>
    <row r="64" spans="1:10" x14ac:dyDescent="0.35">
      <c r="A64">
        <v>208</v>
      </c>
      <c r="B64" t="s">
        <v>15</v>
      </c>
      <c r="C64" t="s">
        <v>24</v>
      </c>
      <c r="D64" t="s">
        <v>22</v>
      </c>
      <c r="E64">
        <v>10371</v>
      </c>
      <c r="F64" t="s">
        <v>10</v>
      </c>
      <c r="G64">
        <v>101</v>
      </c>
      <c r="H64">
        <v>532.94000000000005</v>
      </c>
      <c r="I64">
        <v>194</v>
      </c>
      <c r="J64">
        <f t="shared" si="0"/>
        <v>103390.36000000002</v>
      </c>
    </row>
    <row r="65" spans="1:10" x14ac:dyDescent="0.35">
      <c r="A65">
        <v>209</v>
      </c>
      <c r="B65" t="s">
        <v>15</v>
      </c>
      <c r="C65" t="s">
        <v>20</v>
      </c>
      <c r="D65" t="s">
        <v>24</v>
      </c>
      <c r="E65">
        <v>966</v>
      </c>
      <c r="F65" t="s">
        <v>10</v>
      </c>
      <c r="G65">
        <v>4</v>
      </c>
      <c r="H65">
        <v>4045.74</v>
      </c>
      <c r="I65">
        <v>43</v>
      </c>
      <c r="J65">
        <f t="shared" si="0"/>
        <v>173966.81999999998</v>
      </c>
    </row>
    <row r="66" spans="1:10" x14ac:dyDescent="0.35">
      <c r="A66">
        <v>213</v>
      </c>
      <c r="B66" t="s">
        <v>15</v>
      </c>
      <c r="C66" t="s">
        <v>22</v>
      </c>
      <c r="D66" t="s">
        <v>12</v>
      </c>
      <c r="E66">
        <v>6355</v>
      </c>
      <c r="F66" t="s">
        <v>14</v>
      </c>
      <c r="G66">
        <v>90</v>
      </c>
      <c r="H66">
        <v>2085.04</v>
      </c>
      <c r="I66">
        <v>77</v>
      </c>
      <c r="J66">
        <f t="shared" si="0"/>
        <v>160548.07999999999</v>
      </c>
    </row>
    <row r="67" spans="1:10" x14ac:dyDescent="0.35">
      <c r="A67">
        <v>226</v>
      </c>
      <c r="B67" t="s">
        <v>15</v>
      </c>
      <c r="C67" t="s">
        <v>9</v>
      </c>
      <c r="D67" t="s">
        <v>16</v>
      </c>
      <c r="E67">
        <v>2224</v>
      </c>
      <c r="F67" t="s">
        <v>18</v>
      </c>
      <c r="G67">
        <v>84</v>
      </c>
      <c r="H67">
        <v>106.07</v>
      </c>
      <c r="I67">
        <v>28</v>
      </c>
      <c r="J67">
        <f t="shared" ref="J67:J130" si="1">H67*I67</f>
        <v>2969.96</v>
      </c>
    </row>
    <row r="68" spans="1:10" x14ac:dyDescent="0.35">
      <c r="A68">
        <v>234</v>
      </c>
      <c r="B68" t="s">
        <v>15</v>
      </c>
      <c r="C68" t="s">
        <v>20</v>
      </c>
      <c r="D68" t="s">
        <v>24</v>
      </c>
      <c r="E68">
        <v>7886</v>
      </c>
      <c r="F68" t="s">
        <v>10</v>
      </c>
      <c r="G68">
        <v>25</v>
      </c>
      <c r="H68">
        <v>2555.85</v>
      </c>
      <c r="I68">
        <v>139</v>
      </c>
      <c r="J68">
        <f t="shared" si="1"/>
        <v>355263.14999999997</v>
      </c>
    </row>
    <row r="69" spans="1:10" x14ac:dyDescent="0.35">
      <c r="A69">
        <v>242</v>
      </c>
      <c r="B69" t="s">
        <v>15</v>
      </c>
      <c r="C69" t="s">
        <v>13</v>
      </c>
      <c r="D69" t="s">
        <v>9</v>
      </c>
      <c r="E69">
        <v>2551</v>
      </c>
      <c r="F69" t="s">
        <v>18</v>
      </c>
      <c r="G69">
        <v>34</v>
      </c>
      <c r="H69">
        <v>1677.98</v>
      </c>
      <c r="I69">
        <v>103</v>
      </c>
      <c r="J69">
        <f t="shared" si="1"/>
        <v>172831.94</v>
      </c>
    </row>
    <row r="70" spans="1:10" x14ac:dyDescent="0.35">
      <c r="A70">
        <v>4</v>
      </c>
      <c r="B70" t="s">
        <v>19</v>
      </c>
      <c r="C70" t="s">
        <v>20</v>
      </c>
      <c r="D70" t="s">
        <v>12</v>
      </c>
      <c r="E70">
        <v>7956</v>
      </c>
      <c r="F70" t="s">
        <v>18</v>
      </c>
      <c r="G70">
        <v>24</v>
      </c>
      <c r="H70">
        <v>814.07</v>
      </c>
      <c r="I70">
        <v>112</v>
      </c>
      <c r="J70">
        <f t="shared" si="1"/>
        <v>91175.840000000011</v>
      </c>
    </row>
    <row r="71" spans="1:10" x14ac:dyDescent="0.35">
      <c r="A71">
        <v>7</v>
      </c>
      <c r="B71" t="s">
        <v>19</v>
      </c>
      <c r="C71" t="s">
        <v>22</v>
      </c>
      <c r="D71" t="s">
        <v>16</v>
      </c>
      <c r="E71">
        <v>3506</v>
      </c>
      <c r="F71" t="s">
        <v>10</v>
      </c>
      <c r="G71">
        <v>85</v>
      </c>
      <c r="H71">
        <v>2073.14</v>
      </c>
      <c r="I71">
        <v>101</v>
      </c>
      <c r="J71">
        <f t="shared" si="1"/>
        <v>209387.13999999998</v>
      </c>
    </row>
    <row r="72" spans="1:10" x14ac:dyDescent="0.35">
      <c r="A72">
        <v>24</v>
      </c>
      <c r="B72" t="s">
        <v>19</v>
      </c>
      <c r="C72" t="s">
        <v>12</v>
      </c>
      <c r="D72" t="s">
        <v>13</v>
      </c>
      <c r="E72">
        <v>440</v>
      </c>
      <c r="F72" t="s">
        <v>10</v>
      </c>
      <c r="G72">
        <v>86</v>
      </c>
      <c r="H72">
        <v>498.29</v>
      </c>
      <c r="I72">
        <v>145</v>
      </c>
      <c r="J72">
        <f t="shared" si="1"/>
        <v>72252.05</v>
      </c>
    </row>
    <row r="73" spans="1:10" x14ac:dyDescent="0.35">
      <c r="A73">
        <v>38</v>
      </c>
      <c r="B73" t="s">
        <v>19</v>
      </c>
      <c r="C73" t="s">
        <v>23</v>
      </c>
      <c r="D73" t="s">
        <v>12</v>
      </c>
      <c r="E73">
        <v>9282</v>
      </c>
      <c r="F73" t="s">
        <v>10</v>
      </c>
      <c r="G73">
        <v>111</v>
      </c>
      <c r="H73">
        <v>597.5</v>
      </c>
      <c r="I73">
        <v>154</v>
      </c>
      <c r="J73">
        <f t="shared" si="1"/>
        <v>92015</v>
      </c>
    </row>
    <row r="74" spans="1:10" x14ac:dyDescent="0.35">
      <c r="A74">
        <v>39</v>
      </c>
      <c r="B74" t="s">
        <v>19</v>
      </c>
      <c r="C74" t="s">
        <v>9</v>
      </c>
      <c r="D74" t="s">
        <v>12</v>
      </c>
      <c r="E74">
        <v>3605</v>
      </c>
      <c r="F74" t="s">
        <v>10</v>
      </c>
      <c r="G74">
        <v>19</v>
      </c>
      <c r="H74">
        <v>1444.13</v>
      </c>
      <c r="I74">
        <v>52</v>
      </c>
      <c r="J74">
        <f t="shared" si="1"/>
        <v>75094.760000000009</v>
      </c>
    </row>
    <row r="75" spans="1:10" x14ac:dyDescent="0.35">
      <c r="A75">
        <v>44</v>
      </c>
      <c r="B75" t="s">
        <v>19</v>
      </c>
      <c r="C75" t="s">
        <v>23</v>
      </c>
      <c r="D75" t="s">
        <v>13</v>
      </c>
      <c r="E75">
        <v>5881</v>
      </c>
      <c r="F75" t="s">
        <v>10</v>
      </c>
      <c r="G75">
        <v>33</v>
      </c>
      <c r="H75">
        <v>905.78</v>
      </c>
      <c r="I75">
        <v>72</v>
      </c>
      <c r="J75">
        <f t="shared" si="1"/>
        <v>65216.159999999996</v>
      </c>
    </row>
    <row r="76" spans="1:10" x14ac:dyDescent="0.35">
      <c r="A76">
        <v>50</v>
      </c>
      <c r="B76" t="s">
        <v>19</v>
      </c>
      <c r="C76" t="s">
        <v>17</v>
      </c>
      <c r="D76" t="s">
        <v>23</v>
      </c>
      <c r="E76">
        <v>3696</v>
      </c>
      <c r="F76" t="s">
        <v>10</v>
      </c>
      <c r="G76">
        <v>6</v>
      </c>
      <c r="H76">
        <v>631.08000000000004</v>
      </c>
      <c r="I76">
        <v>114</v>
      </c>
      <c r="J76">
        <f t="shared" si="1"/>
        <v>71943.12000000001</v>
      </c>
    </row>
    <row r="77" spans="1:10" x14ac:dyDescent="0.35">
      <c r="A77">
        <v>51</v>
      </c>
      <c r="B77" t="s">
        <v>19</v>
      </c>
      <c r="C77" t="s">
        <v>24</v>
      </c>
      <c r="D77" t="s">
        <v>12</v>
      </c>
      <c r="E77">
        <v>10191</v>
      </c>
      <c r="F77" t="s">
        <v>14</v>
      </c>
      <c r="G77">
        <v>20</v>
      </c>
      <c r="H77">
        <v>380.98</v>
      </c>
      <c r="I77">
        <v>99</v>
      </c>
      <c r="J77">
        <f t="shared" si="1"/>
        <v>37717.020000000004</v>
      </c>
    </row>
    <row r="78" spans="1:10" x14ac:dyDescent="0.35">
      <c r="A78">
        <v>98</v>
      </c>
      <c r="B78" t="s">
        <v>19</v>
      </c>
      <c r="C78" t="s">
        <v>23</v>
      </c>
      <c r="D78" t="s">
        <v>8</v>
      </c>
      <c r="E78">
        <v>8561</v>
      </c>
      <c r="F78" t="s">
        <v>10</v>
      </c>
      <c r="G78">
        <v>98</v>
      </c>
      <c r="H78">
        <v>775.55</v>
      </c>
      <c r="I78">
        <v>147</v>
      </c>
      <c r="J78">
        <f t="shared" si="1"/>
        <v>114005.84999999999</v>
      </c>
    </row>
    <row r="79" spans="1:10" x14ac:dyDescent="0.35">
      <c r="A79">
        <v>106</v>
      </c>
      <c r="B79" t="s">
        <v>19</v>
      </c>
      <c r="C79" t="s">
        <v>16</v>
      </c>
      <c r="D79" t="s">
        <v>24</v>
      </c>
      <c r="E79">
        <v>7266</v>
      </c>
      <c r="F79" t="s">
        <v>10</v>
      </c>
      <c r="G79">
        <v>62</v>
      </c>
      <c r="H79">
        <v>4160.18</v>
      </c>
      <c r="I79">
        <v>146</v>
      </c>
      <c r="J79">
        <f t="shared" si="1"/>
        <v>607386.28</v>
      </c>
    </row>
    <row r="80" spans="1:10" x14ac:dyDescent="0.35">
      <c r="A80">
        <v>116</v>
      </c>
      <c r="B80" t="s">
        <v>19</v>
      </c>
      <c r="C80" t="s">
        <v>20</v>
      </c>
      <c r="D80" t="s">
        <v>16</v>
      </c>
      <c r="E80">
        <v>10021</v>
      </c>
      <c r="F80" t="s">
        <v>18</v>
      </c>
      <c r="G80">
        <v>41</v>
      </c>
      <c r="H80">
        <v>287.58</v>
      </c>
      <c r="I80">
        <v>55</v>
      </c>
      <c r="J80">
        <f t="shared" si="1"/>
        <v>15816.9</v>
      </c>
    </row>
    <row r="81" spans="1:10" x14ac:dyDescent="0.35">
      <c r="A81">
        <v>117</v>
      </c>
      <c r="B81" t="s">
        <v>19</v>
      </c>
      <c r="C81" t="s">
        <v>16</v>
      </c>
      <c r="D81" t="s">
        <v>23</v>
      </c>
      <c r="E81">
        <v>8817</v>
      </c>
      <c r="F81" t="s">
        <v>10</v>
      </c>
      <c r="G81">
        <v>8</v>
      </c>
      <c r="H81">
        <v>4032.71</v>
      </c>
      <c r="I81">
        <v>41</v>
      </c>
      <c r="J81">
        <f t="shared" si="1"/>
        <v>165341.11000000002</v>
      </c>
    </row>
    <row r="82" spans="1:10" x14ac:dyDescent="0.35">
      <c r="A82">
        <v>130</v>
      </c>
      <c r="B82" t="s">
        <v>19</v>
      </c>
      <c r="C82" t="s">
        <v>20</v>
      </c>
      <c r="D82" t="s">
        <v>12</v>
      </c>
      <c r="E82">
        <v>6494</v>
      </c>
      <c r="F82" t="s">
        <v>10</v>
      </c>
      <c r="G82">
        <v>5</v>
      </c>
      <c r="H82">
        <v>2284.29</v>
      </c>
      <c r="I82">
        <v>132</v>
      </c>
      <c r="J82">
        <f t="shared" si="1"/>
        <v>301526.27999999997</v>
      </c>
    </row>
    <row r="83" spans="1:10" x14ac:dyDescent="0.35">
      <c r="A83">
        <v>136</v>
      </c>
      <c r="B83" t="s">
        <v>19</v>
      </c>
      <c r="C83" t="s">
        <v>9</v>
      </c>
      <c r="D83" t="s">
        <v>22</v>
      </c>
      <c r="E83">
        <v>10255</v>
      </c>
      <c r="F83" t="s">
        <v>14</v>
      </c>
      <c r="G83">
        <v>94</v>
      </c>
      <c r="H83">
        <v>650.83000000000004</v>
      </c>
      <c r="I83">
        <v>126</v>
      </c>
      <c r="J83">
        <f t="shared" si="1"/>
        <v>82004.58</v>
      </c>
    </row>
    <row r="84" spans="1:10" x14ac:dyDescent="0.35">
      <c r="A84">
        <v>142</v>
      </c>
      <c r="B84" t="s">
        <v>19</v>
      </c>
      <c r="C84" t="s">
        <v>23</v>
      </c>
      <c r="D84" t="s">
        <v>9</v>
      </c>
      <c r="E84">
        <v>8104</v>
      </c>
      <c r="F84" t="s">
        <v>10</v>
      </c>
      <c r="G84">
        <v>78</v>
      </c>
      <c r="H84">
        <v>2499.06</v>
      </c>
      <c r="I84">
        <v>30</v>
      </c>
      <c r="J84">
        <f t="shared" si="1"/>
        <v>74971.8</v>
      </c>
    </row>
    <row r="85" spans="1:10" x14ac:dyDescent="0.35">
      <c r="A85">
        <v>143</v>
      </c>
      <c r="B85" t="s">
        <v>19</v>
      </c>
      <c r="C85" t="s">
        <v>20</v>
      </c>
      <c r="D85" t="s">
        <v>24</v>
      </c>
      <c r="E85">
        <v>8474</v>
      </c>
      <c r="F85" t="s">
        <v>14</v>
      </c>
      <c r="G85">
        <v>108</v>
      </c>
      <c r="H85">
        <v>942.15</v>
      </c>
      <c r="I85">
        <v>80</v>
      </c>
      <c r="J85">
        <f t="shared" si="1"/>
        <v>75372</v>
      </c>
    </row>
    <row r="86" spans="1:10" x14ac:dyDescent="0.35">
      <c r="A86">
        <v>155</v>
      </c>
      <c r="B86" t="s">
        <v>19</v>
      </c>
      <c r="C86" t="s">
        <v>9</v>
      </c>
      <c r="D86" t="s">
        <v>13</v>
      </c>
      <c r="E86">
        <v>2186</v>
      </c>
      <c r="F86" t="s">
        <v>18</v>
      </c>
      <c r="G86">
        <v>67</v>
      </c>
      <c r="H86">
        <v>2497.11</v>
      </c>
      <c r="I86">
        <v>128</v>
      </c>
      <c r="J86">
        <f t="shared" si="1"/>
        <v>319630.08000000002</v>
      </c>
    </row>
    <row r="87" spans="1:10" x14ac:dyDescent="0.35">
      <c r="A87">
        <v>156</v>
      </c>
      <c r="B87" t="s">
        <v>19</v>
      </c>
      <c r="C87" t="s">
        <v>20</v>
      </c>
      <c r="D87" t="s">
        <v>23</v>
      </c>
      <c r="E87">
        <v>3806</v>
      </c>
      <c r="F87" t="s">
        <v>18</v>
      </c>
      <c r="G87">
        <v>11</v>
      </c>
      <c r="H87">
        <v>594.91999999999996</v>
      </c>
      <c r="I87">
        <v>62</v>
      </c>
      <c r="J87">
        <f t="shared" si="1"/>
        <v>36885.040000000001</v>
      </c>
    </row>
    <row r="88" spans="1:10" x14ac:dyDescent="0.35">
      <c r="A88">
        <v>161</v>
      </c>
      <c r="B88" t="s">
        <v>19</v>
      </c>
      <c r="C88" t="s">
        <v>9</v>
      </c>
      <c r="D88" t="s">
        <v>20</v>
      </c>
      <c r="E88">
        <v>9472</v>
      </c>
      <c r="F88" t="s">
        <v>18</v>
      </c>
      <c r="G88">
        <v>118</v>
      </c>
      <c r="H88">
        <v>440.82</v>
      </c>
      <c r="I88">
        <v>131</v>
      </c>
      <c r="J88">
        <f t="shared" si="1"/>
        <v>57747.42</v>
      </c>
    </row>
    <row r="89" spans="1:10" x14ac:dyDescent="0.35">
      <c r="A89">
        <v>166</v>
      </c>
      <c r="B89" t="s">
        <v>19</v>
      </c>
      <c r="C89" t="s">
        <v>20</v>
      </c>
      <c r="D89" t="s">
        <v>22</v>
      </c>
      <c r="E89">
        <v>8152</v>
      </c>
      <c r="F89" t="s">
        <v>18</v>
      </c>
      <c r="G89">
        <v>70</v>
      </c>
      <c r="H89">
        <v>2445.98</v>
      </c>
      <c r="I89">
        <v>168</v>
      </c>
      <c r="J89">
        <f t="shared" si="1"/>
        <v>410924.64</v>
      </c>
    </row>
    <row r="90" spans="1:10" x14ac:dyDescent="0.35">
      <c r="A90">
        <v>174</v>
      </c>
      <c r="B90" t="s">
        <v>19</v>
      </c>
      <c r="C90" t="s">
        <v>22</v>
      </c>
      <c r="D90" t="s">
        <v>12</v>
      </c>
      <c r="E90">
        <v>7767</v>
      </c>
      <c r="F90" t="s">
        <v>18</v>
      </c>
      <c r="G90">
        <v>73</v>
      </c>
      <c r="H90">
        <v>1512.77</v>
      </c>
      <c r="I90">
        <v>23</v>
      </c>
      <c r="J90">
        <f t="shared" si="1"/>
        <v>34793.71</v>
      </c>
    </row>
    <row r="91" spans="1:10" x14ac:dyDescent="0.35">
      <c r="A91">
        <v>182</v>
      </c>
      <c r="B91" t="s">
        <v>19</v>
      </c>
      <c r="C91" t="s">
        <v>17</v>
      </c>
      <c r="D91" t="s">
        <v>12</v>
      </c>
      <c r="E91">
        <v>8765</v>
      </c>
      <c r="F91" t="s">
        <v>10</v>
      </c>
      <c r="G91">
        <v>39</v>
      </c>
      <c r="H91">
        <v>3014.65</v>
      </c>
      <c r="I91">
        <v>113</v>
      </c>
      <c r="J91">
        <f t="shared" si="1"/>
        <v>340655.45</v>
      </c>
    </row>
    <row r="92" spans="1:10" x14ac:dyDescent="0.35">
      <c r="A92">
        <v>185</v>
      </c>
      <c r="B92" t="s">
        <v>19</v>
      </c>
      <c r="C92" t="s">
        <v>9</v>
      </c>
      <c r="D92" t="s">
        <v>17</v>
      </c>
      <c r="E92">
        <v>11720</v>
      </c>
      <c r="F92" t="s">
        <v>14</v>
      </c>
      <c r="G92">
        <v>45</v>
      </c>
      <c r="H92">
        <v>2297.9699999999998</v>
      </c>
      <c r="I92">
        <v>164</v>
      </c>
      <c r="J92">
        <f t="shared" si="1"/>
        <v>376867.07999999996</v>
      </c>
    </row>
    <row r="93" spans="1:10" x14ac:dyDescent="0.35">
      <c r="A93">
        <v>197</v>
      </c>
      <c r="B93" t="s">
        <v>19</v>
      </c>
      <c r="C93" t="s">
        <v>12</v>
      </c>
      <c r="D93" t="s">
        <v>17</v>
      </c>
      <c r="E93">
        <v>3578</v>
      </c>
      <c r="F93" t="s">
        <v>18</v>
      </c>
      <c r="G93">
        <v>104</v>
      </c>
      <c r="H93">
        <v>3975.44</v>
      </c>
      <c r="I93">
        <v>85</v>
      </c>
      <c r="J93">
        <f t="shared" si="1"/>
        <v>337912.4</v>
      </c>
    </row>
    <row r="94" spans="1:10" x14ac:dyDescent="0.35">
      <c r="A94">
        <v>205</v>
      </c>
      <c r="B94" t="s">
        <v>19</v>
      </c>
      <c r="C94" t="s">
        <v>8</v>
      </c>
      <c r="D94" t="s">
        <v>9</v>
      </c>
      <c r="E94">
        <v>623</v>
      </c>
      <c r="F94" t="s">
        <v>14</v>
      </c>
      <c r="G94">
        <v>58</v>
      </c>
      <c r="H94">
        <v>354.7</v>
      </c>
      <c r="I94">
        <v>22</v>
      </c>
      <c r="J94">
        <f t="shared" si="1"/>
        <v>7803.4</v>
      </c>
    </row>
    <row r="95" spans="1:10" x14ac:dyDescent="0.35">
      <c r="A95">
        <v>207</v>
      </c>
      <c r="B95" t="s">
        <v>19</v>
      </c>
      <c r="C95" t="s">
        <v>12</v>
      </c>
      <c r="D95" t="s">
        <v>23</v>
      </c>
      <c r="E95">
        <v>444</v>
      </c>
      <c r="F95" t="s">
        <v>14</v>
      </c>
      <c r="G95">
        <v>93</v>
      </c>
      <c r="H95">
        <v>245.53</v>
      </c>
      <c r="I95">
        <v>24</v>
      </c>
      <c r="J95">
        <f t="shared" si="1"/>
        <v>5892.72</v>
      </c>
    </row>
    <row r="96" spans="1:10" x14ac:dyDescent="0.35">
      <c r="A96">
        <v>215</v>
      </c>
      <c r="B96" t="s">
        <v>19</v>
      </c>
      <c r="C96" t="s">
        <v>12</v>
      </c>
      <c r="D96" t="s">
        <v>8</v>
      </c>
      <c r="E96">
        <v>2605</v>
      </c>
      <c r="F96" t="s">
        <v>18</v>
      </c>
      <c r="G96">
        <v>37</v>
      </c>
      <c r="H96">
        <v>2325.11</v>
      </c>
      <c r="I96">
        <v>84</v>
      </c>
      <c r="J96">
        <f t="shared" si="1"/>
        <v>195309.24000000002</v>
      </c>
    </row>
    <row r="97" spans="1:10" x14ac:dyDescent="0.35">
      <c r="A97">
        <v>219</v>
      </c>
      <c r="B97" t="s">
        <v>19</v>
      </c>
      <c r="C97" t="s">
        <v>12</v>
      </c>
      <c r="D97" t="s">
        <v>8</v>
      </c>
      <c r="E97">
        <v>11228</v>
      </c>
      <c r="F97" t="s">
        <v>18</v>
      </c>
      <c r="G97">
        <v>37</v>
      </c>
      <c r="H97">
        <v>382.22</v>
      </c>
      <c r="I97">
        <v>163</v>
      </c>
      <c r="J97">
        <f t="shared" si="1"/>
        <v>62301.860000000008</v>
      </c>
    </row>
    <row r="98" spans="1:10" x14ac:dyDescent="0.35">
      <c r="A98">
        <v>222</v>
      </c>
      <c r="B98" t="s">
        <v>19</v>
      </c>
      <c r="C98" t="s">
        <v>24</v>
      </c>
      <c r="D98" t="s">
        <v>23</v>
      </c>
      <c r="E98">
        <v>8903</v>
      </c>
      <c r="F98" t="s">
        <v>10</v>
      </c>
      <c r="G98">
        <v>106</v>
      </c>
      <c r="H98">
        <v>1030.0999999999999</v>
      </c>
      <c r="I98">
        <v>125</v>
      </c>
      <c r="J98">
        <f t="shared" si="1"/>
        <v>128762.49999999999</v>
      </c>
    </row>
    <row r="99" spans="1:10" x14ac:dyDescent="0.35">
      <c r="A99">
        <v>223</v>
      </c>
      <c r="B99" t="s">
        <v>19</v>
      </c>
      <c r="C99" t="s">
        <v>9</v>
      </c>
      <c r="D99" t="s">
        <v>16</v>
      </c>
      <c r="E99">
        <v>10595</v>
      </c>
      <c r="F99" t="s">
        <v>10</v>
      </c>
      <c r="G99">
        <v>101</v>
      </c>
      <c r="H99">
        <v>1001</v>
      </c>
      <c r="I99">
        <v>133</v>
      </c>
      <c r="J99">
        <f t="shared" si="1"/>
        <v>133133</v>
      </c>
    </row>
    <row r="100" spans="1:10" x14ac:dyDescent="0.35">
      <c r="A100">
        <v>233</v>
      </c>
      <c r="B100" t="s">
        <v>19</v>
      </c>
      <c r="C100" t="s">
        <v>9</v>
      </c>
      <c r="D100" t="s">
        <v>22</v>
      </c>
      <c r="E100">
        <v>4278</v>
      </c>
      <c r="F100" t="s">
        <v>14</v>
      </c>
      <c r="G100">
        <v>43</v>
      </c>
      <c r="H100">
        <v>355.78</v>
      </c>
      <c r="I100">
        <v>5</v>
      </c>
      <c r="J100">
        <f t="shared" si="1"/>
        <v>1778.8999999999999</v>
      </c>
    </row>
    <row r="101" spans="1:10" x14ac:dyDescent="0.35">
      <c r="A101">
        <v>250</v>
      </c>
      <c r="B101" t="s">
        <v>19</v>
      </c>
      <c r="C101" t="s">
        <v>9</v>
      </c>
      <c r="D101" t="s">
        <v>23</v>
      </c>
      <c r="E101">
        <v>11507</v>
      </c>
      <c r="F101" t="s">
        <v>10</v>
      </c>
      <c r="G101">
        <v>72</v>
      </c>
      <c r="H101">
        <v>1479.53</v>
      </c>
      <c r="I101">
        <v>24</v>
      </c>
      <c r="J101">
        <f t="shared" si="1"/>
        <v>35508.720000000001</v>
      </c>
    </row>
    <row r="102" spans="1:10" x14ac:dyDescent="0.35">
      <c r="A102">
        <v>2</v>
      </c>
      <c r="B102" t="s">
        <v>11</v>
      </c>
      <c r="C102" t="s">
        <v>12</v>
      </c>
      <c r="D102" t="s">
        <v>13</v>
      </c>
      <c r="E102">
        <v>8266</v>
      </c>
      <c r="F102" t="s">
        <v>14</v>
      </c>
      <c r="G102">
        <v>98</v>
      </c>
      <c r="H102">
        <v>2227.96</v>
      </c>
      <c r="I102">
        <v>144</v>
      </c>
      <c r="J102">
        <f t="shared" si="1"/>
        <v>320826.23999999999</v>
      </c>
    </row>
    <row r="103" spans="1:10" x14ac:dyDescent="0.35">
      <c r="A103">
        <v>25</v>
      </c>
      <c r="B103" t="s">
        <v>11</v>
      </c>
      <c r="C103" t="s">
        <v>17</v>
      </c>
      <c r="D103" t="s">
        <v>24</v>
      </c>
      <c r="E103">
        <v>2533</v>
      </c>
      <c r="F103" t="s">
        <v>14</v>
      </c>
      <c r="G103">
        <v>54</v>
      </c>
      <c r="H103">
        <v>1211.1400000000001</v>
      </c>
      <c r="I103">
        <v>181</v>
      </c>
      <c r="J103">
        <f t="shared" si="1"/>
        <v>219216.34000000003</v>
      </c>
    </row>
    <row r="104" spans="1:10" x14ac:dyDescent="0.35">
      <c r="A104">
        <v>26</v>
      </c>
      <c r="B104" t="s">
        <v>11</v>
      </c>
      <c r="C104" t="s">
        <v>8</v>
      </c>
      <c r="D104" t="s">
        <v>12</v>
      </c>
      <c r="E104">
        <v>3201</v>
      </c>
      <c r="F104" t="s">
        <v>14</v>
      </c>
      <c r="G104">
        <v>71</v>
      </c>
      <c r="H104">
        <v>2009.24</v>
      </c>
      <c r="I104">
        <v>137</v>
      </c>
      <c r="J104">
        <f t="shared" si="1"/>
        <v>275265.88</v>
      </c>
    </row>
    <row r="105" spans="1:10" x14ac:dyDescent="0.35">
      <c r="A105">
        <v>31</v>
      </c>
      <c r="B105" t="s">
        <v>11</v>
      </c>
      <c r="C105" t="s">
        <v>13</v>
      </c>
      <c r="D105" t="s">
        <v>12</v>
      </c>
      <c r="E105">
        <v>9267</v>
      </c>
      <c r="F105" t="s">
        <v>18</v>
      </c>
      <c r="G105">
        <v>34</v>
      </c>
      <c r="H105">
        <v>1310.46</v>
      </c>
      <c r="I105">
        <v>191</v>
      </c>
      <c r="J105">
        <f t="shared" si="1"/>
        <v>250297.86000000002</v>
      </c>
    </row>
    <row r="106" spans="1:10" x14ac:dyDescent="0.35">
      <c r="A106">
        <v>34</v>
      </c>
      <c r="B106" t="s">
        <v>11</v>
      </c>
      <c r="C106" t="s">
        <v>8</v>
      </c>
      <c r="D106" t="s">
        <v>20</v>
      </c>
      <c r="E106">
        <v>4319</v>
      </c>
      <c r="F106" t="s">
        <v>10</v>
      </c>
      <c r="G106">
        <v>53</v>
      </c>
      <c r="H106">
        <v>1792.07</v>
      </c>
      <c r="I106">
        <v>8</v>
      </c>
      <c r="J106">
        <f t="shared" si="1"/>
        <v>14336.56</v>
      </c>
    </row>
    <row r="107" spans="1:10" x14ac:dyDescent="0.35">
      <c r="A107">
        <v>63</v>
      </c>
      <c r="B107" t="s">
        <v>11</v>
      </c>
      <c r="C107" t="s">
        <v>12</v>
      </c>
      <c r="D107" t="s">
        <v>20</v>
      </c>
      <c r="E107">
        <v>2201</v>
      </c>
      <c r="F107" t="s">
        <v>14</v>
      </c>
      <c r="G107">
        <v>80</v>
      </c>
      <c r="H107">
        <v>1058.28</v>
      </c>
      <c r="I107">
        <v>88</v>
      </c>
      <c r="J107">
        <f t="shared" si="1"/>
        <v>93128.639999999999</v>
      </c>
    </row>
    <row r="108" spans="1:10" x14ac:dyDescent="0.35">
      <c r="A108">
        <v>68</v>
      </c>
      <c r="B108" t="s">
        <v>11</v>
      </c>
      <c r="C108" t="s">
        <v>24</v>
      </c>
      <c r="D108" t="s">
        <v>12</v>
      </c>
      <c r="E108">
        <v>6998</v>
      </c>
      <c r="F108" t="s">
        <v>10</v>
      </c>
      <c r="G108">
        <v>8</v>
      </c>
      <c r="H108">
        <v>981.05</v>
      </c>
      <c r="I108">
        <v>16</v>
      </c>
      <c r="J108">
        <f t="shared" si="1"/>
        <v>15696.8</v>
      </c>
    </row>
    <row r="109" spans="1:10" x14ac:dyDescent="0.35">
      <c r="A109">
        <v>75</v>
      </c>
      <c r="B109" t="s">
        <v>11</v>
      </c>
      <c r="C109" t="s">
        <v>17</v>
      </c>
      <c r="D109" t="s">
        <v>8</v>
      </c>
      <c r="E109">
        <v>3075</v>
      </c>
      <c r="F109" t="s">
        <v>10</v>
      </c>
      <c r="G109">
        <v>32</v>
      </c>
      <c r="H109">
        <v>1198.3800000000001</v>
      </c>
      <c r="I109">
        <v>65</v>
      </c>
      <c r="J109">
        <f t="shared" si="1"/>
        <v>77894.700000000012</v>
      </c>
    </row>
    <row r="110" spans="1:10" x14ac:dyDescent="0.35">
      <c r="A110">
        <v>77</v>
      </c>
      <c r="B110" t="s">
        <v>11</v>
      </c>
      <c r="C110" t="s">
        <v>12</v>
      </c>
      <c r="D110" t="s">
        <v>16</v>
      </c>
      <c r="E110">
        <v>6447</v>
      </c>
      <c r="F110" t="s">
        <v>10</v>
      </c>
      <c r="G110">
        <v>74</v>
      </c>
      <c r="H110">
        <v>1417.51</v>
      </c>
      <c r="I110">
        <v>124</v>
      </c>
      <c r="J110">
        <f t="shared" si="1"/>
        <v>175771.24</v>
      </c>
    </row>
    <row r="111" spans="1:10" x14ac:dyDescent="0.35">
      <c r="A111">
        <v>94</v>
      </c>
      <c r="B111" t="s">
        <v>11</v>
      </c>
      <c r="C111" t="s">
        <v>12</v>
      </c>
      <c r="D111" t="s">
        <v>17</v>
      </c>
      <c r="E111">
        <v>396</v>
      </c>
      <c r="F111" t="s">
        <v>18</v>
      </c>
      <c r="G111">
        <v>107</v>
      </c>
      <c r="H111">
        <v>1243.6300000000001</v>
      </c>
      <c r="I111">
        <v>74</v>
      </c>
      <c r="J111">
        <f t="shared" si="1"/>
        <v>92028.62000000001</v>
      </c>
    </row>
    <row r="112" spans="1:10" x14ac:dyDescent="0.35">
      <c r="A112">
        <v>103</v>
      </c>
      <c r="B112" t="s">
        <v>11</v>
      </c>
      <c r="C112" t="s">
        <v>24</v>
      </c>
      <c r="D112" t="s">
        <v>12</v>
      </c>
      <c r="E112">
        <v>8201</v>
      </c>
      <c r="F112" t="s">
        <v>14</v>
      </c>
      <c r="G112">
        <v>86</v>
      </c>
      <c r="H112">
        <v>2627.88</v>
      </c>
      <c r="I112">
        <v>200</v>
      </c>
      <c r="J112">
        <f t="shared" si="1"/>
        <v>525576</v>
      </c>
    </row>
    <row r="113" spans="1:10" x14ac:dyDescent="0.35">
      <c r="A113">
        <v>109</v>
      </c>
      <c r="B113" t="s">
        <v>11</v>
      </c>
      <c r="C113" t="s">
        <v>12</v>
      </c>
      <c r="D113" t="s">
        <v>16</v>
      </c>
      <c r="E113">
        <v>3445</v>
      </c>
      <c r="F113" t="s">
        <v>18</v>
      </c>
      <c r="G113">
        <v>105</v>
      </c>
      <c r="H113">
        <v>5377.31</v>
      </c>
      <c r="I113">
        <v>18</v>
      </c>
      <c r="J113">
        <f t="shared" si="1"/>
        <v>96791.58</v>
      </c>
    </row>
    <row r="114" spans="1:10" x14ac:dyDescent="0.35">
      <c r="A114">
        <v>111</v>
      </c>
      <c r="B114" t="s">
        <v>11</v>
      </c>
      <c r="C114" t="s">
        <v>24</v>
      </c>
      <c r="D114" t="s">
        <v>17</v>
      </c>
      <c r="E114">
        <v>11081</v>
      </c>
      <c r="F114" t="s">
        <v>14</v>
      </c>
      <c r="G114">
        <v>91</v>
      </c>
      <c r="H114">
        <v>2656.31</v>
      </c>
      <c r="I114">
        <v>118</v>
      </c>
      <c r="J114">
        <f t="shared" si="1"/>
        <v>313444.58</v>
      </c>
    </row>
    <row r="115" spans="1:10" x14ac:dyDescent="0.35">
      <c r="A115">
        <v>126</v>
      </c>
      <c r="B115" t="s">
        <v>11</v>
      </c>
      <c r="C115" t="s">
        <v>22</v>
      </c>
      <c r="D115" t="s">
        <v>17</v>
      </c>
      <c r="E115">
        <v>2279</v>
      </c>
      <c r="F115" t="s">
        <v>10</v>
      </c>
      <c r="G115">
        <v>103</v>
      </c>
      <c r="H115">
        <v>696.06</v>
      </c>
      <c r="I115">
        <v>18</v>
      </c>
      <c r="J115">
        <f t="shared" si="1"/>
        <v>12529.079999999998</v>
      </c>
    </row>
    <row r="116" spans="1:10" x14ac:dyDescent="0.35">
      <c r="A116">
        <v>132</v>
      </c>
      <c r="B116" t="s">
        <v>11</v>
      </c>
      <c r="C116" t="s">
        <v>9</v>
      </c>
      <c r="D116" t="s">
        <v>24</v>
      </c>
      <c r="E116">
        <v>1602</v>
      </c>
      <c r="F116" t="s">
        <v>14</v>
      </c>
      <c r="G116">
        <v>19</v>
      </c>
      <c r="H116">
        <v>4295.3999999999996</v>
      </c>
      <c r="I116">
        <v>39</v>
      </c>
      <c r="J116">
        <f t="shared" si="1"/>
        <v>167520.59999999998</v>
      </c>
    </row>
    <row r="117" spans="1:10" x14ac:dyDescent="0.35">
      <c r="A117">
        <v>145</v>
      </c>
      <c r="B117" t="s">
        <v>11</v>
      </c>
      <c r="C117" t="s">
        <v>13</v>
      </c>
      <c r="D117" t="s">
        <v>24</v>
      </c>
      <c r="E117">
        <v>4154</v>
      </c>
      <c r="F117" t="s">
        <v>18</v>
      </c>
      <c r="G117">
        <v>89</v>
      </c>
      <c r="H117">
        <v>5889.12</v>
      </c>
      <c r="I117">
        <v>163</v>
      </c>
      <c r="J117">
        <f t="shared" si="1"/>
        <v>959926.55999999994</v>
      </c>
    </row>
    <row r="118" spans="1:10" x14ac:dyDescent="0.35">
      <c r="A118">
        <v>172</v>
      </c>
      <c r="B118" t="s">
        <v>11</v>
      </c>
      <c r="C118" t="s">
        <v>16</v>
      </c>
      <c r="D118" t="s">
        <v>13</v>
      </c>
      <c r="E118">
        <v>8402</v>
      </c>
      <c r="F118" t="s">
        <v>14</v>
      </c>
      <c r="G118">
        <v>75</v>
      </c>
      <c r="H118">
        <v>2038.94</v>
      </c>
      <c r="I118">
        <v>133</v>
      </c>
      <c r="J118">
        <f t="shared" si="1"/>
        <v>271179.02</v>
      </c>
    </row>
    <row r="119" spans="1:10" x14ac:dyDescent="0.35">
      <c r="A119">
        <v>175</v>
      </c>
      <c r="B119" t="s">
        <v>11</v>
      </c>
      <c r="C119" t="s">
        <v>12</v>
      </c>
      <c r="D119" t="s">
        <v>9</v>
      </c>
      <c r="E119">
        <v>460</v>
      </c>
      <c r="F119" t="s">
        <v>18</v>
      </c>
      <c r="G119">
        <v>118</v>
      </c>
      <c r="H119">
        <v>1749.77</v>
      </c>
      <c r="I119">
        <v>167</v>
      </c>
      <c r="J119">
        <f t="shared" si="1"/>
        <v>292211.59000000003</v>
      </c>
    </row>
    <row r="120" spans="1:10" x14ac:dyDescent="0.35">
      <c r="A120">
        <v>176</v>
      </c>
      <c r="B120" t="s">
        <v>11</v>
      </c>
      <c r="C120" t="s">
        <v>22</v>
      </c>
      <c r="D120" t="s">
        <v>9</v>
      </c>
      <c r="E120">
        <v>4413</v>
      </c>
      <c r="F120" t="s">
        <v>14</v>
      </c>
      <c r="G120">
        <v>112</v>
      </c>
      <c r="H120">
        <v>393.39</v>
      </c>
      <c r="I120">
        <v>134</v>
      </c>
      <c r="J120">
        <f t="shared" si="1"/>
        <v>52714.259999999995</v>
      </c>
    </row>
    <row r="121" spans="1:10" x14ac:dyDescent="0.35">
      <c r="A121">
        <v>191</v>
      </c>
      <c r="B121" t="s">
        <v>11</v>
      </c>
      <c r="C121" t="s">
        <v>12</v>
      </c>
      <c r="D121" t="s">
        <v>8</v>
      </c>
      <c r="E121">
        <v>7130</v>
      </c>
      <c r="F121" t="s">
        <v>14</v>
      </c>
      <c r="G121">
        <v>72</v>
      </c>
      <c r="H121">
        <v>2720.95</v>
      </c>
      <c r="I121">
        <v>160</v>
      </c>
      <c r="J121">
        <f t="shared" si="1"/>
        <v>435352</v>
      </c>
    </row>
    <row r="122" spans="1:10" x14ac:dyDescent="0.35">
      <c r="A122">
        <v>200</v>
      </c>
      <c r="B122" t="s">
        <v>11</v>
      </c>
      <c r="C122" t="s">
        <v>9</v>
      </c>
      <c r="D122" t="s">
        <v>22</v>
      </c>
      <c r="E122">
        <v>6019</v>
      </c>
      <c r="F122" t="s">
        <v>18</v>
      </c>
      <c r="G122">
        <v>106</v>
      </c>
      <c r="H122">
        <v>523.36</v>
      </c>
      <c r="I122">
        <v>25</v>
      </c>
      <c r="J122">
        <f t="shared" si="1"/>
        <v>13084</v>
      </c>
    </row>
    <row r="123" spans="1:10" x14ac:dyDescent="0.35">
      <c r="A123">
        <v>210</v>
      </c>
      <c r="B123" t="s">
        <v>11</v>
      </c>
      <c r="C123" t="s">
        <v>23</v>
      </c>
      <c r="D123" t="s">
        <v>24</v>
      </c>
      <c r="E123">
        <v>11384</v>
      </c>
      <c r="F123" t="s">
        <v>10</v>
      </c>
      <c r="G123">
        <v>11</v>
      </c>
      <c r="H123">
        <v>425.61</v>
      </c>
      <c r="I123">
        <v>49</v>
      </c>
      <c r="J123">
        <f t="shared" si="1"/>
        <v>20854.89</v>
      </c>
    </row>
    <row r="124" spans="1:10" x14ac:dyDescent="0.35">
      <c r="A124">
        <v>217</v>
      </c>
      <c r="B124" t="s">
        <v>11</v>
      </c>
      <c r="C124" t="s">
        <v>16</v>
      </c>
      <c r="D124" t="s">
        <v>23</v>
      </c>
      <c r="E124">
        <v>4002</v>
      </c>
      <c r="F124" t="s">
        <v>14</v>
      </c>
      <c r="G124">
        <v>75</v>
      </c>
      <c r="H124">
        <v>848.01</v>
      </c>
      <c r="I124">
        <v>84</v>
      </c>
      <c r="J124">
        <f t="shared" si="1"/>
        <v>71232.84</v>
      </c>
    </row>
    <row r="125" spans="1:10" x14ac:dyDescent="0.35">
      <c r="A125">
        <v>245</v>
      </c>
      <c r="B125" t="s">
        <v>11</v>
      </c>
      <c r="C125" t="s">
        <v>12</v>
      </c>
      <c r="D125" t="s">
        <v>24</v>
      </c>
      <c r="E125">
        <v>6420</v>
      </c>
      <c r="F125" t="s">
        <v>10</v>
      </c>
      <c r="G125">
        <v>37</v>
      </c>
      <c r="H125">
        <v>817.76</v>
      </c>
      <c r="I125">
        <v>114</v>
      </c>
      <c r="J125">
        <f t="shared" si="1"/>
        <v>93224.639999999999</v>
      </c>
    </row>
    <row r="126" spans="1:10" x14ac:dyDescent="0.35">
      <c r="A126">
        <v>15</v>
      </c>
      <c r="B126" t="s">
        <v>25</v>
      </c>
      <c r="C126" t="s">
        <v>13</v>
      </c>
      <c r="D126" t="s">
        <v>24</v>
      </c>
      <c r="E126">
        <v>5492</v>
      </c>
      <c r="F126" t="s">
        <v>14</v>
      </c>
      <c r="G126">
        <v>38</v>
      </c>
      <c r="H126">
        <v>2044.55</v>
      </c>
      <c r="I126">
        <v>154</v>
      </c>
      <c r="J126">
        <f t="shared" si="1"/>
        <v>314860.7</v>
      </c>
    </row>
    <row r="127" spans="1:10" x14ac:dyDescent="0.35">
      <c r="A127">
        <v>18</v>
      </c>
      <c r="B127" t="s">
        <v>25</v>
      </c>
      <c r="C127" t="s">
        <v>23</v>
      </c>
      <c r="D127" t="s">
        <v>17</v>
      </c>
      <c r="E127">
        <v>11244</v>
      </c>
      <c r="F127" t="s">
        <v>10</v>
      </c>
      <c r="G127">
        <v>37</v>
      </c>
      <c r="H127">
        <v>306.5</v>
      </c>
      <c r="I127">
        <v>34</v>
      </c>
      <c r="J127">
        <f t="shared" si="1"/>
        <v>10421</v>
      </c>
    </row>
    <row r="128" spans="1:10" x14ac:dyDescent="0.35">
      <c r="A128">
        <v>20</v>
      </c>
      <c r="B128" t="s">
        <v>25</v>
      </c>
      <c r="C128" t="s">
        <v>9</v>
      </c>
      <c r="D128" t="s">
        <v>16</v>
      </c>
      <c r="E128">
        <v>9731</v>
      </c>
      <c r="F128" t="s">
        <v>18</v>
      </c>
      <c r="G128">
        <v>4</v>
      </c>
      <c r="H128">
        <v>1947.5</v>
      </c>
      <c r="I128">
        <v>81</v>
      </c>
      <c r="J128">
        <f t="shared" si="1"/>
        <v>157747.5</v>
      </c>
    </row>
    <row r="129" spans="1:10" x14ac:dyDescent="0.35">
      <c r="A129">
        <v>32</v>
      </c>
      <c r="B129" t="s">
        <v>25</v>
      </c>
      <c r="C129" t="s">
        <v>16</v>
      </c>
      <c r="D129" t="s">
        <v>23</v>
      </c>
      <c r="E129">
        <v>1682</v>
      </c>
      <c r="F129" t="s">
        <v>18</v>
      </c>
      <c r="G129">
        <v>83</v>
      </c>
      <c r="H129">
        <v>3316.6</v>
      </c>
      <c r="I129">
        <v>32</v>
      </c>
      <c r="J129">
        <f t="shared" si="1"/>
        <v>106131.2</v>
      </c>
    </row>
    <row r="130" spans="1:10" x14ac:dyDescent="0.35">
      <c r="A130">
        <v>33</v>
      </c>
      <c r="B130" t="s">
        <v>25</v>
      </c>
      <c r="C130" t="s">
        <v>23</v>
      </c>
      <c r="D130" t="s">
        <v>20</v>
      </c>
      <c r="E130">
        <v>10010</v>
      </c>
      <c r="F130" t="s">
        <v>14</v>
      </c>
      <c r="G130">
        <v>44</v>
      </c>
      <c r="H130">
        <v>1895.91</v>
      </c>
      <c r="I130">
        <v>123</v>
      </c>
      <c r="J130">
        <f t="shared" si="1"/>
        <v>233196.93000000002</v>
      </c>
    </row>
    <row r="131" spans="1:10" x14ac:dyDescent="0.35">
      <c r="A131">
        <v>47</v>
      </c>
      <c r="B131" t="s">
        <v>25</v>
      </c>
      <c r="C131" t="s">
        <v>9</v>
      </c>
      <c r="D131" t="s">
        <v>12</v>
      </c>
      <c r="E131">
        <v>4452</v>
      </c>
      <c r="F131" t="s">
        <v>14</v>
      </c>
      <c r="G131">
        <v>6</v>
      </c>
      <c r="H131">
        <v>1593.55</v>
      </c>
      <c r="I131">
        <v>77</v>
      </c>
      <c r="J131">
        <f t="shared" ref="J131:J194" si="2">H131*I131</f>
        <v>122703.34999999999</v>
      </c>
    </row>
    <row r="132" spans="1:10" x14ac:dyDescent="0.35">
      <c r="A132">
        <v>55</v>
      </c>
      <c r="B132" t="s">
        <v>25</v>
      </c>
      <c r="C132" t="s">
        <v>24</v>
      </c>
      <c r="D132" t="s">
        <v>22</v>
      </c>
      <c r="E132">
        <v>4586</v>
      </c>
      <c r="F132" t="s">
        <v>10</v>
      </c>
      <c r="G132">
        <v>50</v>
      </c>
      <c r="H132">
        <v>2477.71</v>
      </c>
      <c r="I132">
        <v>184</v>
      </c>
      <c r="J132">
        <f t="shared" si="2"/>
        <v>455898.64</v>
      </c>
    </row>
    <row r="133" spans="1:10" x14ac:dyDescent="0.35">
      <c r="A133">
        <v>59</v>
      </c>
      <c r="B133" t="s">
        <v>25</v>
      </c>
      <c r="C133" t="s">
        <v>8</v>
      </c>
      <c r="D133" t="s">
        <v>12</v>
      </c>
      <c r="E133">
        <v>951</v>
      </c>
      <c r="F133" t="s">
        <v>10</v>
      </c>
      <c r="G133">
        <v>102</v>
      </c>
      <c r="H133">
        <v>824.72</v>
      </c>
      <c r="I133">
        <v>72</v>
      </c>
      <c r="J133">
        <f t="shared" si="2"/>
        <v>59379.840000000004</v>
      </c>
    </row>
    <row r="134" spans="1:10" x14ac:dyDescent="0.35">
      <c r="A134">
        <v>61</v>
      </c>
      <c r="B134" t="s">
        <v>25</v>
      </c>
      <c r="C134" t="s">
        <v>23</v>
      </c>
      <c r="D134" t="s">
        <v>22</v>
      </c>
      <c r="E134">
        <v>11300</v>
      </c>
      <c r="F134" t="s">
        <v>18</v>
      </c>
      <c r="G134">
        <v>9</v>
      </c>
      <c r="H134">
        <v>293.25</v>
      </c>
      <c r="I134">
        <v>5</v>
      </c>
      <c r="J134">
        <f t="shared" si="2"/>
        <v>1466.25</v>
      </c>
    </row>
    <row r="135" spans="1:10" x14ac:dyDescent="0.35">
      <c r="A135">
        <v>74</v>
      </c>
      <c r="B135" t="s">
        <v>25</v>
      </c>
      <c r="C135" t="s">
        <v>13</v>
      </c>
      <c r="D135" t="s">
        <v>24</v>
      </c>
      <c r="E135">
        <v>8292</v>
      </c>
      <c r="F135" t="s">
        <v>10</v>
      </c>
      <c r="G135">
        <v>87</v>
      </c>
      <c r="H135">
        <v>742.15</v>
      </c>
      <c r="I135">
        <v>138</v>
      </c>
      <c r="J135">
        <f t="shared" si="2"/>
        <v>102416.7</v>
      </c>
    </row>
    <row r="136" spans="1:10" x14ac:dyDescent="0.35">
      <c r="A136">
        <v>82</v>
      </c>
      <c r="B136" t="s">
        <v>25</v>
      </c>
      <c r="C136" t="s">
        <v>23</v>
      </c>
      <c r="D136" t="s">
        <v>16</v>
      </c>
      <c r="E136">
        <v>804</v>
      </c>
      <c r="F136" t="s">
        <v>18</v>
      </c>
      <c r="G136">
        <v>16</v>
      </c>
      <c r="H136">
        <v>2045.27</v>
      </c>
      <c r="I136">
        <v>26</v>
      </c>
      <c r="J136">
        <f t="shared" si="2"/>
        <v>53177.02</v>
      </c>
    </row>
    <row r="137" spans="1:10" x14ac:dyDescent="0.35">
      <c r="A137">
        <v>84</v>
      </c>
      <c r="B137" t="s">
        <v>25</v>
      </c>
      <c r="C137" t="s">
        <v>24</v>
      </c>
      <c r="D137" t="s">
        <v>17</v>
      </c>
      <c r="E137">
        <v>4239</v>
      </c>
      <c r="F137" t="s">
        <v>10</v>
      </c>
      <c r="G137">
        <v>21</v>
      </c>
      <c r="H137">
        <v>2392.13</v>
      </c>
      <c r="I137">
        <v>112</v>
      </c>
      <c r="J137">
        <f t="shared" si="2"/>
        <v>267918.56</v>
      </c>
    </row>
    <row r="138" spans="1:10" x14ac:dyDescent="0.35">
      <c r="A138">
        <v>86</v>
      </c>
      <c r="B138" t="s">
        <v>25</v>
      </c>
      <c r="C138" t="s">
        <v>16</v>
      </c>
      <c r="D138" t="s">
        <v>23</v>
      </c>
      <c r="E138">
        <v>2167</v>
      </c>
      <c r="F138" t="s">
        <v>14</v>
      </c>
      <c r="G138">
        <v>107</v>
      </c>
      <c r="H138">
        <v>584.62</v>
      </c>
      <c r="I138">
        <v>10</v>
      </c>
      <c r="J138">
        <f t="shared" si="2"/>
        <v>5846.2</v>
      </c>
    </row>
    <row r="139" spans="1:10" x14ac:dyDescent="0.35">
      <c r="A139">
        <v>88</v>
      </c>
      <c r="B139" t="s">
        <v>25</v>
      </c>
      <c r="C139" t="s">
        <v>13</v>
      </c>
      <c r="D139" t="s">
        <v>22</v>
      </c>
      <c r="E139">
        <v>6188</v>
      </c>
      <c r="F139" t="s">
        <v>14</v>
      </c>
      <c r="G139">
        <v>35</v>
      </c>
      <c r="H139">
        <v>5264.14</v>
      </c>
      <c r="I139">
        <v>196</v>
      </c>
      <c r="J139">
        <f t="shared" si="2"/>
        <v>1031771.4400000001</v>
      </c>
    </row>
    <row r="140" spans="1:10" x14ac:dyDescent="0.35">
      <c r="A140">
        <v>89</v>
      </c>
      <c r="B140" t="s">
        <v>25</v>
      </c>
      <c r="C140" t="s">
        <v>12</v>
      </c>
      <c r="D140" t="s">
        <v>23</v>
      </c>
      <c r="E140">
        <v>5347</v>
      </c>
      <c r="F140" t="s">
        <v>14</v>
      </c>
      <c r="G140">
        <v>66</v>
      </c>
      <c r="H140">
        <v>921.18</v>
      </c>
      <c r="I140">
        <v>84</v>
      </c>
      <c r="J140">
        <f t="shared" si="2"/>
        <v>77379.12</v>
      </c>
    </row>
    <row r="141" spans="1:10" x14ac:dyDescent="0.35">
      <c r="A141">
        <v>93</v>
      </c>
      <c r="B141" t="s">
        <v>25</v>
      </c>
      <c r="C141" t="s">
        <v>9</v>
      </c>
      <c r="D141" t="s">
        <v>16</v>
      </c>
      <c r="E141">
        <v>2068</v>
      </c>
      <c r="F141" t="s">
        <v>10</v>
      </c>
      <c r="G141">
        <v>93</v>
      </c>
      <c r="H141">
        <v>3274.89</v>
      </c>
      <c r="I141">
        <v>97</v>
      </c>
      <c r="J141">
        <f t="shared" si="2"/>
        <v>317664.33</v>
      </c>
    </row>
    <row r="142" spans="1:10" x14ac:dyDescent="0.35">
      <c r="A142">
        <v>95</v>
      </c>
      <c r="B142" t="s">
        <v>25</v>
      </c>
      <c r="C142" t="s">
        <v>8</v>
      </c>
      <c r="D142" t="s">
        <v>24</v>
      </c>
      <c r="E142">
        <v>11306</v>
      </c>
      <c r="F142" t="s">
        <v>10</v>
      </c>
      <c r="G142">
        <v>19</v>
      </c>
      <c r="H142">
        <v>5133.78</v>
      </c>
      <c r="I142">
        <v>67</v>
      </c>
      <c r="J142">
        <f t="shared" si="2"/>
        <v>343963.26</v>
      </c>
    </row>
    <row r="143" spans="1:10" x14ac:dyDescent="0.35">
      <c r="A143">
        <v>97</v>
      </c>
      <c r="B143" t="s">
        <v>25</v>
      </c>
      <c r="C143" t="s">
        <v>9</v>
      </c>
      <c r="D143" t="s">
        <v>24</v>
      </c>
      <c r="E143">
        <v>1888</v>
      </c>
      <c r="F143" t="s">
        <v>18</v>
      </c>
      <c r="G143">
        <v>66</v>
      </c>
      <c r="H143">
        <v>916.41</v>
      </c>
      <c r="I143">
        <v>95</v>
      </c>
      <c r="J143">
        <f t="shared" si="2"/>
        <v>87058.95</v>
      </c>
    </row>
    <row r="144" spans="1:10" x14ac:dyDescent="0.35">
      <c r="A144">
        <v>100</v>
      </c>
      <c r="B144" t="s">
        <v>25</v>
      </c>
      <c r="C144" t="s">
        <v>22</v>
      </c>
      <c r="D144" t="s">
        <v>17</v>
      </c>
      <c r="E144">
        <v>5802</v>
      </c>
      <c r="F144" t="s">
        <v>14</v>
      </c>
      <c r="G144">
        <v>96</v>
      </c>
      <c r="H144">
        <v>1984.74</v>
      </c>
      <c r="I144">
        <v>61</v>
      </c>
      <c r="J144">
        <f t="shared" si="2"/>
        <v>121069.14</v>
      </c>
    </row>
    <row r="145" spans="1:10" x14ac:dyDescent="0.35">
      <c r="A145">
        <v>105</v>
      </c>
      <c r="B145" t="s">
        <v>25</v>
      </c>
      <c r="C145" t="s">
        <v>8</v>
      </c>
      <c r="D145" t="s">
        <v>20</v>
      </c>
      <c r="E145">
        <v>8427</v>
      </c>
      <c r="F145" t="s">
        <v>10</v>
      </c>
      <c r="G145">
        <v>19</v>
      </c>
      <c r="H145">
        <v>3758.74</v>
      </c>
      <c r="I145">
        <v>97</v>
      </c>
      <c r="J145">
        <f t="shared" si="2"/>
        <v>364597.77999999997</v>
      </c>
    </row>
    <row r="146" spans="1:10" x14ac:dyDescent="0.35">
      <c r="A146">
        <v>138</v>
      </c>
      <c r="B146" t="s">
        <v>25</v>
      </c>
      <c r="C146" t="s">
        <v>17</v>
      </c>
      <c r="D146" t="s">
        <v>22</v>
      </c>
      <c r="E146">
        <v>7826</v>
      </c>
      <c r="F146" t="s">
        <v>18</v>
      </c>
      <c r="G146">
        <v>24</v>
      </c>
      <c r="H146">
        <v>1554.41</v>
      </c>
      <c r="I146">
        <v>41</v>
      </c>
      <c r="J146">
        <f t="shared" si="2"/>
        <v>63730.810000000005</v>
      </c>
    </row>
    <row r="147" spans="1:10" x14ac:dyDescent="0.35">
      <c r="A147">
        <v>169</v>
      </c>
      <c r="B147" t="s">
        <v>25</v>
      </c>
      <c r="C147" t="s">
        <v>8</v>
      </c>
      <c r="D147" t="s">
        <v>9</v>
      </c>
      <c r="E147">
        <v>10515</v>
      </c>
      <c r="F147" t="s">
        <v>18</v>
      </c>
      <c r="G147">
        <v>56</v>
      </c>
      <c r="H147">
        <v>1883.93</v>
      </c>
      <c r="I147">
        <v>33</v>
      </c>
      <c r="J147">
        <f t="shared" si="2"/>
        <v>62169.69</v>
      </c>
    </row>
    <row r="148" spans="1:10" x14ac:dyDescent="0.35">
      <c r="A148">
        <v>173</v>
      </c>
      <c r="B148" t="s">
        <v>25</v>
      </c>
      <c r="C148" t="s">
        <v>8</v>
      </c>
      <c r="D148" t="s">
        <v>22</v>
      </c>
      <c r="E148">
        <v>2274</v>
      </c>
      <c r="F148" t="s">
        <v>10</v>
      </c>
      <c r="G148">
        <v>40</v>
      </c>
      <c r="H148">
        <v>2299.94</v>
      </c>
      <c r="I148">
        <v>20</v>
      </c>
      <c r="J148">
        <f t="shared" si="2"/>
        <v>45998.8</v>
      </c>
    </row>
    <row r="149" spans="1:10" x14ac:dyDescent="0.35">
      <c r="A149">
        <v>179</v>
      </c>
      <c r="B149" t="s">
        <v>25</v>
      </c>
      <c r="C149" t="s">
        <v>24</v>
      </c>
      <c r="D149" t="s">
        <v>17</v>
      </c>
      <c r="E149">
        <v>6952</v>
      </c>
      <c r="F149" t="s">
        <v>18</v>
      </c>
      <c r="G149">
        <v>93</v>
      </c>
      <c r="H149">
        <v>955.08</v>
      </c>
      <c r="I149">
        <v>100</v>
      </c>
      <c r="J149">
        <f t="shared" si="2"/>
        <v>95508</v>
      </c>
    </row>
    <row r="150" spans="1:10" x14ac:dyDescent="0.35">
      <c r="A150">
        <v>188</v>
      </c>
      <c r="B150" t="s">
        <v>25</v>
      </c>
      <c r="C150" t="s">
        <v>20</v>
      </c>
      <c r="D150" t="s">
        <v>16</v>
      </c>
      <c r="E150">
        <v>11323</v>
      </c>
      <c r="F150" t="s">
        <v>14</v>
      </c>
      <c r="G150">
        <v>100</v>
      </c>
      <c r="H150">
        <v>373.53</v>
      </c>
      <c r="I150">
        <v>28</v>
      </c>
      <c r="J150">
        <f t="shared" si="2"/>
        <v>10458.84</v>
      </c>
    </row>
    <row r="151" spans="1:10" x14ac:dyDescent="0.35">
      <c r="A151">
        <v>189</v>
      </c>
      <c r="B151" t="s">
        <v>25</v>
      </c>
      <c r="C151" t="s">
        <v>24</v>
      </c>
      <c r="D151" t="s">
        <v>8</v>
      </c>
      <c r="E151">
        <v>543</v>
      </c>
      <c r="F151" t="s">
        <v>18</v>
      </c>
      <c r="G151">
        <v>54</v>
      </c>
      <c r="H151">
        <v>4434.71</v>
      </c>
      <c r="I151">
        <v>99</v>
      </c>
      <c r="J151">
        <f t="shared" si="2"/>
        <v>439036.29</v>
      </c>
    </row>
    <row r="152" spans="1:10" x14ac:dyDescent="0.35">
      <c r="A152">
        <v>192</v>
      </c>
      <c r="B152" t="s">
        <v>25</v>
      </c>
      <c r="C152" t="s">
        <v>12</v>
      </c>
      <c r="D152" t="s">
        <v>9</v>
      </c>
      <c r="E152">
        <v>807</v>
      </c>
      <c r="F152" t="s">
        <v>10</v>
      </c>
      <c r="G152">
        <v>85</v>
      </c>
      <c r="H152">
        <v>2110.31</v>
      </c>
      <c r="I152">
        <v>33</v>
      </c>
      <c r="J152">
        <f t="shared" si="2"/>
        <v>69640.23</v>
      </c>
    </row>
    <row r="153" spans="1:10" x14ac:dyDescent="0.35">
      <c r="A153">
        <v>199</v>
      </c>
      <c r="B153" t="s">
        <v>25</v>
      </c>
      <c r="C153" t="s">
        <v>9</v>
      </c>
      <c r="D153" t="s">
        <v>23</v>
      </c>
      <c r="E153">
        <v>9628</v>
      </c>
      <c r="F153" t="s">
        <v>10</v>
      </c>
      <c r="G153">
        <v>31</v>
      </c>
      <c r="H153">
        <v>857.6</v>
      </c>
      <c r="I153">
        <v>97</v>
      </c>
      <c r="J153">
        <f t="shared" si="2"/>
        <v>83187.199999999997</v>
      </c>
    </row>
    <row r="154" spans="1:10" x14ac:dyDescent="0.35">
      <c r="A154">
        <v>202</v>
      </c>
      <c r="B154" t="s">
        <v>25</v>
      </c>
      <c r="C154" t="s">
        <v>17</v>
      </c>
      <c r="D154" t="s">
        <v>16</v>
      </c>
      <c r="E154">
        <v>11626</v>
      </c>
      <c r="F154" t="s">
        <v>10</v>
      </c>
      <c r="G154">
        <v>68</v>
      </c>
      <c r="H154">
        <v>935.49</v>
      </c>
      <c r="I154">
        <v>170</v>
      </c>
      <c r="J154">
        <f t="shared" si="2"/>
        <v>159033.29999999999</v>
      </c>
    </row>
    <row r="155" spans="1:10" x14ac:dyDescent="0.35">
      <c r="A155">
        <v>220</v>
      </c>
      <c r="B155" t="s">
        <v>25</v>
      </c>
      <c r="C155" t="s">
        <v>22</v>
      </c>
      <c r="D155" t="s">
        <v>24</v>
      </c>
      <c r="E155">
        <v>1463</v>
      </c>
      <c r="F155" t="s">
        <v>18</v>
      </c>
      <c r="G155">
        <v>32</v>
      </c>
      <c r="H155">
        <v>770.28</v>
      </c>
      <c r="I155">
        <v>164</v>
      </c>
      <c r="J155">
        <f t="shared" si="2"/>
        <v>126325.92</v>
      </c>
    </row>
    <row r="156" spans="1:10" x14ac:dyDescent="0.35">
      <c r="A156">
        <v>227</v>
      </c>
      <c r="B156" t="s">
        <v>25</v>
      </c>
      <c r="C156" t="s">
        <v>24</v>
      </c>
      <c r="D156" t="s">
        <v>17</v>
      </c>
      <c r="E156">
        <v>5792</v>
      </c>
      <c r="F156" t="s">
        <v>10</v>
      </c>
      <c r="G156">
        <v>50</v>
      </c>
      <c r="H156">
        <v>1135.92</v>
      </c>
      <c r="I156">
        <v>100</v>
      </c>
      <c r="J156">
        <f t="shared" si="2"/>
        <v>113592</v>
      </c>
    </row>
    <row r="157" spans="1:10" x14ac:dyDescent="0.35">
      <c r="A157">
        <v>237</v>
      </c>
      <c r="B157" t="s">
        <v>25</v>
      </c>
      <c r="C157" t="s">
        <v>23</v>
      </c>
      <c r="D157" t="s">
        <v>17</v>
      </c>
      <c r="E157">
        <v>7370</v>
      </c>
      <c r="F157" t="s">
        <v>14</v>
      </c>
      <c r="G157">
        <v>102</v>
      </c>
      <c r="H157">
        <v>2852.67</v>
      </c>
      <c r="I157">
        <v>91</v>
      </c>
      <c r="J157">
        <f t="shared" si="2"/>
        <v>259592.97</v>
      </c>
    </row>
    <row r="158" spans="1:10" x14ac:dyDescent="0.35">
      <c r="A158">
        <v>243</v>
      </c>
      <c r="B158" t="s">
        <v>25</v>
      </c>
      <c r="C158" t="s">
        <v>20</v>
      </c>
      <c r="D158" t="s">
        <v>12</v>
      </c>
      <c r="E158">
        <v>7175</v>
      </c>
      <c r="F158" t="s">
        <v>14</v>
      </c>
      <c r="G158">
        <v>79</v>
      </c>
      <c r="H158">
        <v>3648.54</v>
      </c>
      <c r="I158">
        <v>26</v>
      </c>
      <c r="J158">
        <f t="shared" si="2"/>
        <v>94862.04</v>
      </c>
    </row>
    <row r="159" spans="1:10" x14ac:dyDescent="0.35">
      <c r="A159">
        <v>249</v>
      </c>
      <c r="B159" t="s">
        <v>25</v>
      </c>
      <c r="C159" t="s">
        <v>17</v>
      </c>
      <c r="D159" t="s">
        <v>12</v>
      </c>
      <c r="E159">
        <v>8028</v>
      </c>
      <c r="F159" t="s">
        <v>14</v>
      </c>
      <c r="G159">
        <v>58</v>
      </c>
      <c r="H159">
        <v>2789.98</v>
      </c>
      <c r="I159">
        <v>150</v>
      </c>
      <c r="J159">
        <f t="shared" si="2"/>
        <v>418497</v>
      </c>
    </row>
    <row r="160" spans="1:10" x14ac:dyDescent="0.35">
      <c r="A160">
        <v>5</v>
      </c>
      <c r="B160" t="s">
        <v>21</v>
      </c>
      <c r="C160" t="s">
        <v>22</v>
      </c>
      <c r="D160" t="s">
        <v>16</v>
      </c>
      <c r="E160">
        <v>1308</v>
      </c>
      <c r="F160" t="s">
        <v>14</v>
      </c>
      <c r="G160">
        <v>60</v>
      </c>
      <c r="H160">
        <v>626.66</v>
      </c>
      <c r="I160">
        <v>92</v>
      </c>
      <c r="J160">
        <f t="shared" si="2"/>
        <v>57652.719999999994</v>
      </c>
    </row>
    <row r="161" spans="1:10" x14ac:dyDescent="0.35">
      <c r="A161">
        <v>9</v>
      </c>
      <c r="B161" t="s">
        <v>21</v>
      </c>
      <c r="C161" t="s">
        <v>9</v>
      </c>
      <c r="D161" t="s">
        <v>17</v>
      </c>
      <c r="E161">
        <v>7150</v>
      </c>
      <c r="F161" t="s">
        <v>14</v>
      </c>
      <c r="G161">
        <v>24</v>
      </c>
      <c r="H161">
        <v>1254.97</v>
      </c>
      <c r="I161">
        <v>121</v>
      </c>
      <c r="J161">
        <f t="shared" si="2"/>
        <v>151851.37</v>
      </c>
    </row>
    <row r="162" spans="1:10" x14ac:dyDescent="0.35">
      <c r="A162">
        <v>12</v>
      </c>
      <c r="B162" t="s">
        <v>21</v>
      </c>
      <c r="C162" t="s">
        <v>22</v>
      </c>
      <c r="D162" t="s">
        <v>24</v>
      </c>
      <c r="E162">
        <v>5589</v>
      </c>
      <c r="F162" t="s">
        <v>14</v>
      </c>
      <c r="G162">
        <v>108</v>
      </c>
      <c r="H162">
        <v>3519.14</v>
      </c>
      <c r="I162">
        <v>19</v>
      </c>
      <c r="J162">
        <f t="shared" si="2"/>
        <v>66863.66</v>
      </c>
    </row>
    <row r="163" spans="1:10" x14ac:dyDescent="0.35">
      <c r="A163">
        <v>14</v>
      </c>
      <c r="B163" t="s">
        <v>21</v>
      </c>
      <c r="C163" t="s">
        <v>22</v>
      </c>
      <c r="D163" t="s">
        <v>24</v>
      </c>
      <c r="E163">
        <v>9572</v>
      </c>
      <c r="F163" t="s">
        <v>10</v>
      </c>
      <c r="G163">
        <v>48</v>
      </c>
      <c r="H163">
        <v>3485.76</v>
      </c>
      <c r="I163">
        <v>72</v>
      </c>
      <c r="J163">
        <f t="shared" si="2"/>
        <v>250974.72000000003</v>
      </c>
    </row>
    <row r="164" spans="1:10" x14ac:dyDescent="0.35">
      <c r="A164">
        <v>21</v>
      </c>
      <c r="B164" t="s">
        <v>21</v>
      </c>
      <c r="C164" t="s">
        <v>22</v>
      </c>
      <c r="D164" t="s">
        <v>23</v>
      </c>
      <c r="E164">
        <v>10971</v>
      </c>
      <c r="F164" t="s">
        <v>18</v>
      </c>
      <c r="G164">
        <v>19</v>
      </c>
      <c r="H164">
        <v>4419.58</v>
      </c>
      <c r="I164">
        <v>143</v>
      </c>
      <c r="J164">
        <f t="shared" si="2"/>
        <v>631999.93999999994</v>
      </c>
    </row>
    <row r="165" spans="1:10" x14ac:dyDescent="0.35">
      <c r="A165">
        <v>29</v>
      </c>
      <c r="B165" t="s">
        <v>21</v>
      </c>
      <c r="C165" t="s">
        <v>23</v>
      </c>
      <c r="D165" t="s">
        <v>12</v>
      </c>
      <c r="E165">
        <v>2817</v>
      </c>
      <c r="F165" t="s">
        <v>14</v>
      </c>
      <c r="G165">
        <v>99</v>
      </c>
      <c r="H165">
        <v>5367.82</v>
      </c>
      <c r="I165">
        <v>129</v>
      </c>
      <c r="J165">
        <f t="shared" si="2"/>
        <v>692448.77999999991</v>
      </c>
    </row>
    <row r="166" spans="1:10" x14ac:dyDescent="0.35">
      <c r="A166">
        <v>40</v>
      </c>
      <c r="B166" t="s">
        <v>21</v>
      </c>
      <c r="C166" t="s">
        <v>8</v>
      </c>
      <c r="D166" t="s">
        <v>24</v>
      </c>
      <c r="E166">
        <v>4434</v>
      </c>
      <c r="F166" t="s">
        <v>10</v>
      </c>
      <c r="G166">
        <v>99</v>
      </c>
      <c r="H166">
        <v>1798.55</v>
      </c>
      <c r="I166">
        <v>150</v>
      </c>
      <c r="J166">
        <f t="shared" si="2"/>
        <v>269782.5</v>
      </c>
    </row>
    <row r="167" spans="1:10" x14ac:dyDescent="0.35">
      <c r="A167">
        <v>42</v>
      </c>
      <c r="B167" t="s">
        <v>21</v>
      </c>
      <c r="C167" t="s">
        <v>12</v>
      </c>
      <c r="D167" t="s">
        <v>16</v>
      </c>
      <c r="E167">
        <v>11502</v>
      </c>
      <c r="F167" t="s">
        <v>10</v>
      </c>
      <c r="G167">
        <v>43</v>
      </c>
      <c r="H167">
        <v>3552.64</v>
      </c>
      <c r="I167">
        <v>66</v>
      </c>
      <c r="J167">
        <f t="shared" si="2"/>
        <v>234474.23999999999</v>
      </c>
    </row>
    <row r="168" spans="1:10" x14ac:dyDescent="0.35">
      <c r="A168">
        <v>45</v>
      </c>
      <c r="B168" t="s">
        <v>21</v>
      </c>
      <c r="C168" t="s">
        <v>17</v>
      </c>
      <c r="D168" t="s">
        <v>9</v>
      </c>
      <c r="E168">
        <v>471</v>
      </c>
      <c r="F168" t="s">
        <v>18</v>
      </c>
      <c r="G168">
        <v>88</v>
      </c>
      <c r="H168">
        <v>2536.2800000000002</v>
      </c>
      <c r="I168">
        <v>144</v>
      </c>
      <c r="J168">
        <f t="shared" si="2"/>
        <v>365224.32</v>
      </c>
    </row>
    <row r="169" spans="1:10" x14ac:dyDescent="0.35">
      <c r="A169">
        <v>49</v>
      </c>
      <c r="B169" t="s">
        <v>21</v>
      </c>
      <c r="C169" t="s">
        <v>20</v>
      </c>
      <c r="D169" t="s">
        <v>23</v>
      </c>
      <c r="E169">
        <v>3482</v>
      </c>
      <c r="F169" t="s">
        <v>10</v>
      </c>
      <c r="G169">
        <v>90</v>
      </c>
      <c r="H169">
        <v>2052.9699999999998</v>
      </c>
      <c r="I169">
        <v>16</v>
      </c>
      <c r="J169">
        <f t="shared" si="2"/>
        <v>32847.519999999997</v>
      </c>
    </row>
    <row r="170" spans="1:10" x14ac:dyDescent="0.35">
      <c r="A170">
        <v>52</v>
      </c>
      <c r="B170" t="s">
        <v>21</v>
      </c>
      <c r="C170" t="s">
        <v>8</v>
      </c>
      <c r="D170" t="s">
        <v>20</v>
      </c>
      <c r="E170">
        <v>8504</v>
      </c>
      <c r="F170" t="s">
        <v>10</v>
      </c>
      <c r="G170">
        <v>76</v>
      </c>
      <c r="H170">
        <v>5363.96</v>
      </c>
      <c r="I170">
        <v>15</v>
      </c>
      <c r="J170">
        <f t="shared" si="2"/>
        <v>80459.399999999994</v>
      </c>
    </row>
    <row r="171" spans="1:10" x14ac:dyDescent="0.35">
      <c r="A171">
        <v>58</v>
      </c>
      <c r="B171" t="s">
        <v>21</v>
      </c>
      <c r="C171" t="s">
        <v>8</v>
      </c>
      <c r="D171" t="s">
        <v>9</v>
      </c>
      <c r="E171">
        <v>5736</v>
      </c>
      <c r="F171" t="s">
        <v>18</v>
      </c>
      <c r="G171">
        <v>30</v>
      </c>
      <c r="H171">
        <v>6473.45</v>
      </c>
      <c r="I171">
        <v>142</v>
      </c>
      <c r="J171">
        <f t="shared" si="2"/>
        <v>919229.9</v>
      </c>
    </row>
    <row r="172" spans="1:10" x14ac:dyDescent="0.35">
      <c r="A172">
        <v>67</v>
      </c>
      <c r="B172" t="s">
        <v>21</v>
      </c>
      <c r="C172" t="s">
        <v>13</v>
      </c>
      <c r="D172" t="s">
        <v>24</v>
      </c>
      <c r="E172">
        <v>6879</v>
      </c>
      <c r="F172" t="s">
        <v>18</v>
      </c>
      <c r="G172">
        <v>111</v>
      </c>
      <c r="H172">
        <v>3391.11</v>
      </c>
      <c r="I172">
        <v>163</v>
      </c>
      <c r="J172">
        <f t="shared" si="2"/>
        <v>552750.93000000005</v>
      </c>
    </row>
    <row r="173" spans="1:10" x14ac:dyDescent="0.35">
      <c r="A173">
        <v>70</v>
      </c>
      <c r="B173" t="s">
        <v>21</v>
      </c>
      <c r="C173" t="s">
        <v>24</v>
      </c>
      <c r="D173" t="s">
        <v>8</v>
      </c>
      <c r="E173">
        <v>4258</v>
      </c>
      <c r="F173" t="s">
        <v>18</v>
      </c>
      <c r="G173">
        <v>60</v>
      </c>
      <c r="H173">
        <v>2116.88</v>
      </c>
      <c r="I173">
        <v>181</v>
      </c>
      <c r="J173">
        <f t="shared" si="2"/>
        <v>383155.28</v>
      </c>
    </row>
    <row r="174" spans="1:10" x14ac:dyDescent="0.35">
      <c r="A174">
        <v>72</v>
      </c>
      <c r="B174" t="s">
        <v>21</v>
      </c>
      <c r="C174" t="s">
        <v>24</v>
      </c>
      <c r="D174" t="s">
        <v>9</v>
      </c>
      <c r="E174">
        <v>5031</v>
      </c>
      <c r="F174" t="s">
        <v>10</v>
      </c>
      <c r="G174">
        <v>92</v>
      </c>
      <c r="H174">
        <v>451.04</v>
      </c>
      <c r="I174">
        <v>148</v>
      </c>
      <c r="J174">
        <f t="shared" si="2"/>
        <v>66753.919999999998</v>
      </c>
    </row>
    <row r="175" spans="1:10" x14ac:dyDescent="0.35">
      <c r="A175">
        <v>87</v>
      </c>
      <c r="B175" t="s">
        <v>21</v>
      </c>
      <c r="C175" t="s">
        <v>8</v>
      </c>
      <c r="D175" t="s">
        <v>17</v>
      </c>
      <c r="E175">
        <v>884</v>
      </c>
      <c r="F175" t="s">
        <v>14</v>
      </c>
      <c r="G175">
        <v>14</v>
      </c>
      <c r="H175">
        <v>3172.05</v>
      </c>
      <c r="I175">
        <v>60</v>
      </c>
      <c r="J175">
        <f t="shared" si="2"/>
        <v>190323</v>
      </c>
    </row>
    <row r="176" spans="1:10" x14ac:dyDescent="0.35">
      <c r="A176">
        <v>90</v>
      </c>
      <c r="B176" t="s">
        <v>21</v>
      </c>
      <c r="C176" t="s">
        <v>12</v>
      </c>
      <c r="D176" t="s">
        <v>13</v>
      </c>
      <c r="E176">
        <v>11901</v>
      </c>
      <c r="F176" t="s">
        <v>14</v>
      </c>
      <c r="G176">
        <v>75</v>
      </c>
      <c r="H176">
        <v>365.36</v>
      </c>
      <c r="I176">
        <v>181</v>
      </c>
      <c r="J176">
        <f t="shared" si="2"/>
        <v>66130.16</v>
      </c>
    </row>
    <row r="177" spans="1:10" x14ac:dyDescent="0.35">
      <c r="A177">
        <v>110</v>
      </c>
      <c r="B177" t="s">
        <v>21</v>
      </c>
      <c r="C177" t="s">
        <v>12</v>
      </c>
      <c r="D177" t="s">
        <v>17</v>
      </c>
      <c r="E177">
        <v>2623</v>
      </c>
      <c r="F177" t="s">
        <v>14</v>
      </c>
      <c r="G177">
        <v>18</v>
      </c>
      <c r="H177">
        <v>1069.93</v>
      </c>
      <c r="I177">
        <v>200</v>
      </c>
      <c r="J177">
        <f t="shared" si="2"/>
        <v>213986</v>
      </c>
    </row>
    <row r="178" spans="1:10" x14ac:dyDescent="0.35">
      <c r="A178">
        <v>124</v>
      </c>
      <c r="B178" t="s">
        <v>21</v>
      </c>
      <c r="C178" t="s">
        <v>9</v>
      </c>
      <c r="D178" t="s">
        <v>16</v>
      </c>
      <c r="E178">
        <v>2970</v>
      </c>
      <c r="F178" t="s">
        <v>14</v>
      </c>
      <c r="G178">
        <v>69</v>
      </c>
      <c r="H178">
        <v>275.33999999999997</v>
      </c>
      <c r="I178">
        <v>107</v>
      </c>
      <c r="J178">
        <f t="shared" si="2"/>
        <v>29461.379999999997</v>
      </c>
    </row>
    <row r="179" spans="1:10" x14ac:dyDescent="0.35">
      <c r="A179">
        <v>133</v>
      </c>
      <c r="B179" t="s">
        <v>21</v>
      </c>
      <c r="C179" t="s">
        <v>12</v>
      </c>
      <c r="D179" t="s">
        <v>9</v>
      </c>
      <c r="E179">
        <v>484</v>
      </c>
      <c r="F179" t="s">
        <v>18</v>
      </c>
      <c r="G179">
        <v>70</v>
      </c>
      <c r="H179">
        <v>2396.7600000000002</v>
      </c>
      <c r="I179">
        <v>5</v>
      </c>
      <c r="J179">
        <f t="shared" si="2"/>
        <v>11983.800000000001</v>
      </c>
    </row>
    <row r="180" spans="1:10" x14ac:dyDescent="0.35">
      <c r="A180">
        <v>140</v>
      </c>
      <c r="B180" t="s">
        <v>21</v>
      </c>
      <c r="C180" t="s">
        <v>9</v>
      </c>
      <c r="D180" t="s">
        <v>20</v>
      </c>
      <c r="E180">
        <v>11511</v>
      </c>
      <c r="F180" t="s">
        <v>14</v>
      </c>
      <c r="G180">
        <v>66</v>
      </c>
      <c r="H180">
        <v>2601.86</v>
      </c>
      <c r="I180">
        <v>86</v>
      </c>
      <c r="J180">
        <f t="shared" si="2"/>
        <v>223759.96000000002</v>
      </c>
    </row>
    <row r="181" spans="1:10" x14ac:dyDescent="0.35">
      <c r="A181">
        <v>147</v>
      </c>
      <c r="B181" t="s">
        <v>21</v>
      </c>
      <c r="C181" t="s">
        <v>20</v>
      </c>
      <c r="D181" t="s">
        <v>8</v>
      </c>
      <c r="E181">
        <v>9400</v>
      </c>
      <c r="F181" t="s">
        <v>14</v>
      </c>
      <c r="G181">
        <v>117</v>
      </c>
      <c r="H181">
        <v>395.88</v>
      </c>
      <c r="I181">
        <v>23</v>
      </c>
      <c r="J181">
        <f t="shared" si="2"/>
        <v>9105.24</v>
      </c>
    </row>
    <row r="182" spans="1:10" x14ac:dyDescent="0.35">
      <c r="A182">
        <v>150</v>
      </c>
      <c r="B182" t="s">
        <v>21</v>
      </c>
      <c r="C182" t="s">
        <v>22</v>
      </c>
      <c r="D182" t="s">
        <v>20</v>
      </c>
      <c r="E182">
        <v>6143</v>
      </c>
      <c r="F182" t="s">
        <v>18</v>
      </c>
      <c r="G182">
        <v>14</v>
      </c>
      <c r="H182">
        <v>912.09</v>
      </c>
      <c r="I182">
        <v>7</v>
      </c>
      <c r="J182">
        <f t="shared" si="2"/>
        <v>6384.63</v>
      </c>
    </row>
    <row r="183" spans="1:10" x14ac:dyDescent="0.35">
      <c r="A183">
        <v>151</v>
      </c>
      <c r="B183" t="s">
        <v>21</v>
      </c>
      <c r="C183" t="s">
        <v>24</v>
      </c>
      <c r="D183" t="s">
        <v>9</v>
      </c>
      <c r="E183">
        <v>3733</v>
      </c>
      <c r="F183" t="s">
        <v>18</v>
      </c>
      <c r="G183">
        <v>48</v>
      </c>
      <c r="H183">
        <v>1486.51</v>
      </c>
      <c r="I183">
        <v>95</v>
      </c>
      <c r="J183">
        <f t="shared" si="2"/>
        <v>141218.45000000001</v>
      </c>
    </row>
    <row r="184" spans="1:10" x14ac:dyDescent="0.35">
      <c r="A184">
        <v>152</v>
      </c>
      <c r="B184" t="s">
        <v>21</v>
      </c>
      <c r="C184" t="s">
        <v>16</v>
      </c>
      <c r="D184" t="s">
        <v>8</v>
      </c>
      <c r="E184">
        <v>4151</v>
      </c>
      <c r="F184" t="s">
        <v>10</v>
      </c>
      <c r="G184">
        <v>23</v>
      </c>
      <c r="H184">
        <v>2026.29</v>
      </c>
      <c r="I184">
        <v>40</v>
      </c>
      <c r="J184">
        <f t="shared" si="2"/>
        <v>81051.600000000006</v>
      </c>
    </row>
    <row r="185" spans="1:10" x14ac:dyDescent="0.35">
      <c r="A185">
        <v>154</v>
      </c>
      <c r="B185" t="s">
        <v>21</v>
      </c>
      <c r="C185" t="s">
        <v>8</v>
      </c>
      <c r="D185" t="s">
        <v>16</v>
      </c>
      <c r="E185">
        <v>6407</v>
      </c>
      <c r="F185" t="s">
        <v>10</v>
      </c>
      <c r="G185">
        <v>89</v>
      </c>
      <c r="H185">
        <v>614.54999999999995</v>
      </c>
      <c r="I185">
        <v>38</v>
      </c>
      <c r="J185">
        <f t="shared" si="2"/>
        <v>23352.899999999998</v>
      </c>
    </row>
    <row r="186" spans="1:10" x14ac:dyDescent="0.35">
      <c r="A186">
        <v>163</v>
      </c>
      <c r="B186" t="s">
        <v>21</v>
      </c>
      <c r="C186" t="s">
        <v>16</v>
      </c>
      <c r="D186" t="s">
        <v>13</v>
      </c>
      <c r="E186">
        <v>11848</v>
      </c>
      <c r="F186" t="s">
        <v>18</v>
      </c>
      <c r="G186">
        <v>81</v>
      </c>
      <c r="H186">
        <v>4168.67</v>
      </c>
      <c r="I186">
        <v>130</v>
      </c>
      <c r="J186">
        <f t="shared" si="2"/>
        <v>541927.1</v>
      </c>
    </row>
    <row r="187" spans="1:10" x14ac:dyDescent="0.35">
      <c r="A187">
        <v>164</v>
      </c>
      <c r="B187" t="s">
        <v>21</v>
      </c>
      <c r="C187" t="s">
        <v>9</v>
      </c>
      <c r="D187" t="s">
        <v>8</v>
      </c>
      <c r="E187">
        <v>9012</v>
      </c>
      <c r="F187" t="s">
        <v>18</v>
      </c>
      <c r="G187">
        <v>38</v>
      </c>
      <c r="H187">
        <v>821.38</v>
      </c>
      <c r="I187">
        <v>118</v>
      </c>
      <c r="J187">
        <f t="shared" si="2"/>
        <v>96922.84</v>
      </c>
    </row>
    <row r="188" spans="1:10" x14ac:dyDescent="0.35">
      <c r="A188">
        <v>165</v>
      </c>
      <c r="B188" t="s">
        <v>21</v>
      </c>
      <c r="C188" t="s">
        <v>12</v>
      </c>
      <c r="D188" t="s">
        <v>20</v>
      </c>
      <c r="E188">
        <v>4565</v>
      </c>
      <c r="F188" t="s">
        <v>18</v>
      </c>
      <c r="G188">
        <v>81</v>
      </c>
      <c r="H188">
        <v>1767.21</v>
      </c>
      <c r="I188">
        <v>106</v>
      </c>
      <c r="J188">
        <f t="shared" si="2"/>
        <v>187324.26</v>
      </c>
    </row>
    <row r="189" spans="1:10" x14ac:dyDescent="0.35">
      <c r="A189">
        <v>168</v>
      </c>
      <c r="B189" t="s">
        <v>21</v>
      </c>
      <c r="C189" t="s">
        <v>12</v>
      </c>
      <c r="D189" t="s">
        <v>8</v>
      </c>
      <c r="E189">
        <v>10760</v>
      </c>
      <c r="F189" t="s">
        <v>10</v>
      </c>
      <c r="G189">
        <v>32</v>
      </c>
      <c r="H189">
        <v>2737.17</v>
      </c>
      <c r="I189">
        <v>157</v>
      </c>
      <c r="J189">
        <f t="shared" si="2"/>
        <v>429735.69</v>
      </c>
    </row>
    <row r="190" spans="1:10" x14ac:dyDescent="0.35">
      <c r="A190">
        <v>194</v>
      </c>
      <c r="B190" t="s">
        <v>21</v>
      </c>
      <c r="C190" t="s">
        <v>16</v>
      </c>
      <c r="D190" t="s">
        <v>22</v>
      </c>
      <c r="E190">
        <v>1647</v>
      </c>
      <c r="F190" t="s">
        <v>18</v>
      </c>
      <c r="G190">
        <v>70</v>
      </c>
      <c r="H190">
        <v>425.98</v>
      </c>
      <c r="I190">
        <v>40</v>
      </c>
      <c r="J190">
        <f t="shared" si="2"/>
        <v>17039.2</v>
      </c>
    </row>
    <row r="191" spans="1:10" x14ac:dyDescent="0.35">
      <c r="A191">
        <v>195</v>
      </c>
      <c r="B191" t="s">
        <v>21</v>
      </c>
      <c r="C191" t="s">
        <v>23</v>
      </c>
      <c r="D191" t="s">
        <v>24</v>
      </c>
      <c r="E191">
        <v>3900</v>
      </c>
      <c r="F191" t="s">
        <v>10</v>
      </c>
      <c r="G191">
        <v>3</v>
      </c>
      <c r="H191">
        <v>6803.82</v>
      </c>
      <c r="I191">
        <v>115</v>
      </c>
      <c r="J191">
        <f t="shared" si="2"/>
        <v>782439.29999999993</v>
      </c>
    </row>
    <row r="192" spans="1:10" x14ac:dyDescent="0.35">
      <c r="A192">
        <v>196</v>
      </c>
      <c r="B192" t="s">
        <v>21</v>
      </c>
      <c r="C192" t="s">
        <v>16</v>
      </c>
      <c r="D192" t="s">
        <v>23</v>
      </c>
      <c r="E192">
        <v>1891</v>
      </c>
      <c r="F192" t="s">
        <v>18</v>
      </c>
      <c r="G192">
        <v>76</v>
      </c>
      <c r="H192">
        <v>2026.24</v>
      </c>
      <c r="I192">
        <v>95</v>
      </c>
      <c r="J192">
        <f t="shared" si="2"/>
        <v>192492.79999999999</v>
      </c>
    </row>
    <row r="193" spans="1:10" x14ac:dyDescent="0.35">
      <c r="A193">
        <v>230</v>
      </c>
      <c r="B193" t="s">
        <v>21</v>
      </c>
      <c r="C193" t="s">
        <v>22</v>
      </c>
      <c r="D193" t="s">
        <v>17</v>
      </c>
      <c r="E193">
        <v>376</v>
      </c>
      <c r="F193" t="s">
        <v>14</v>
      </c>
      <c r="G193">
        <v>48</v>
      </c>
      <c r="H193">
        <v>160.57</v>
      </c>
      <c r="I193">
        <v>9</v>
      </c>
      <c r="J193">
        <f t="shared" si="2"/>
        <v>1445.1299999999999</v>
      </c>
    </row>
    <row r="194" spans="1:10" x14ac:dyDescent="0.35">
      <c r="A194">
        <v>231</v>
      </c>
      <c r="B194" t="s">
        <v>21</v>
      </c>
      <c r="C194" t="s">
        <v>20</v>
      </c>
      <c r="D194" t="s">
        <v>8</v>
      </c>
      <c r="E194">
        <v>11153</v>
      </c>
      <c r="F194" t="s">
        <v>18</v>
      </c>
      <c r="G194">
        <v>1</v>
      </c>
      <c r="H194">
        <v>1204.97</v>
      </c>
      <c r="I194">
        <v>36</v>
      </c>
      <c r="J194">
        <f t="shared" si="2"/>
        <v>43378.92</v>
      </c>
    </row>
    <row r="195" spans="1:10" x14ac:dyDescent="0.35">
      <c r="A195">
        <v>246</v>
      </c>
      <c r="B195" t="s">
        <v>21</v>
      </c>
      <c r="C195" t="s">
        <v>24</v>
      </c>
      <c r="D195" t="s">
        <v>9</v>
      </c>
      <c r="E195">
        <v>2389</v>
      </c>
      <c r="F195" t="s">
        <v>18</v>
      </c>
      <c r="G195">
        <v>33</v>
      </c>
      <c r="H195">
        <v>804.6</v>
      </c>
      <c r="I195">
        <v>95</v>
      </c>
      <c r="J195">
        <f t="shared" ref="J195:J251" si="3">H195*I195</f>
        <v>76437</v>
      </c>
    </row>
    <row r="196" spans="1:10" x14ac:dyDescent="0.35">
      <c r="A196">
        <v>10</v>
      </c>
      <c r="B196" t="s">
        <v>28</v>
      </c>
      <c r="C196" t="s">
        <v>23</v>
      </c>
      <c r="D196" t="s">
        <v>13</v>
      </c>
      <c r="E196">
        <v>3760</v>
      </c>
      <c r="F196" t="s">
        <v>18</v>
      </c>
      <c r="G196">
        <v>36</v>
      </c>
      <c r="H196">
        <v>916.82</v>
      </c>
      <c r="I196">
        <v>184</v>
      </c>
      <c r="J196">
        <f t="shared" si="3"/>
        <v>168694.88</v>
      </c>
    </row>
    <row r="197" spans="1:10" x14ac:dyDescent="0.35">
      <c r="A197">
        <v>13</v>
      </c>
      <c r="B197" t="s">
        <v>28</v>
      </c>
      <c r="C197" t="s">
        <v>8</v>
      </c>
      <c r="D197" t="s">
        <v>9</v>
      </c>
      <c r="E197">
        <v>2049</v>
      </c>
      <c r="F197" t="s">
        <v>14</v>
      </c>
      <c r="G197">
        <v>72</v>
      </c>
      <c r="H197">
        <v>869.1</v>
      </c>
      <c r="I197">
        <v>150</v>
      </c>
      <c r="J197">
        <f t="shared" si="3"/>
        <v>130365</v>
      </c>
    </row>
    <row r="198" spans="1:10" x14ac:dyDescent="0.35">
      <c r="A198">
        <v>36</v>
      </c>
      <c r="B198" t="s">
        <v>28</v>
      </c>
      <c r="C198" t="s">
        <v>22</v>
      </c>
      <c r="D198" t="s">
        <v>12</v>
      </c>
      <c r="E198">
        <v>2695</v>
      </c>
      <c r="F198" t="s">
        <v>10</v>
      </c>
      <c r="G198">
        <v>55</v>
      </c>
      <c r="H198">
        <v>1495.68</v>
      </c>
      <c r="I198">
        <v>121</v>
      </c>
      <c r="J198">
        <f t="shared" si="3"/>
        <v>180977.28</v>
      </c>
    </row>
    <row r="199" spans="1:10" x14ac:dyDescent="0.35">
      <c r="A199">
        <v>43</v>
      </c>
      <c r="B199" t="s">
        <v>28</v>
      </c>
      <c r="C199" t="s">
        <v>8</v>
      </c>
      <c r="D199" t="s">
        <v>12</v>
      </c>
      <c r="E199">
        <v>10486</v>
      </c>
      <c r="F199" t="s">
        <v>18</v>
      </c>
      <c r="G199">
        <v>95</v>
      </c>
      <c r="H199">
        <v>1775.34</v>
      </c>
      <c r="I199">
        <v>23</v>
      </c>
      <c r="J199">
        <f t="shared" si="3"/>
        <v>40832.82</v>
      </c>
    </row>
    <row r="200" spans="1:10" x14ac:dyDescent="0.35">
      <c r="A200">
        <v>62</v>
      </c>
      <c r="B200" t="s">
        <v>28</v>
      </c>
      <c r="C200" t="s">
        <v>20</v>
      </c>
      <c r="D200" t="s">
        <v>16</v>
      </c>
      <c r="E200">
        <v>4101</v>
      </c>
      <c r="F200" t="s">
        <v>18</v>
      </c>
      <c r="G200">
        <v>18</v>
      </c>
      <c r="H200">
        <v>1825.15</v>
      </c>
      <c r="I200">
        <v>89</v>
      </c>
      <c r="J200">
        <f t="shared" si="3"/>
        <v>162438.35</v>
      </c>
    </row>
    <row r="201" spans="1:10" x14ac:dyDescent="0.35">
      <c r="A201">
        <v>73</v>
      </c>
      <c r="B201" t="s">
        <v>28</v>
      </c>
      <c r="C201" t="s">
        <v>13</v>
      </c>
      <c r="D201" t="s">
        <v>20</v>
      </c>
      <c r="E201">
        <v>3101</v>
      </c>
      <c r="F201" t="s">
        <v>18</v>
      </c>
      <c r="G201">
        <v>64</v>
      </c>
      <c r="H201">
        <v>2247.61</v>
      </c>
      <c r="I201">
        <v>195</v>
      </c>
      <c r="J201">
        <f t="shared" si="3"/>
        <v>438283.95</v>
      </c>
    </row>
    <row r="202" spans="1:10" x14ac:dyDescent="0.35">
      <c r="A202">
        <v>76</v>
      </c>
      <c r="B202" t="s">
        <v>28</v>
      </c>
      <c r="C202" t="s">
        <v>22</v>
      </c>
      <c r="D202" t="s">
        <v>20</v>
      </c>
      <c r="E202">
        <v>1621</v>
      </c>
      <c r="F202" t="s">
        <v>10</v>
      </c>
      <c r="G202">
        <v>60</v>
      </c>
      <c r="H202">
        <v>1374.01</v>
      </c>
      <c r="I202">
        <v>182</v>
      </c>
      <c r="J202">
        <f t="shared" si="3"/>
        <v>250069.82</v>
      </c>
    </row>
    <row r="203" spans="1:10" x14ac:dyDescent="0.35">
      <c r="A203">
        <v>96</v>
      </c>
      <c r="B203" t="s">
        <v>28</v>
      </c>
      <c r="C203" t="s">
        <v>9</v>
      </c>
      <c r="D203" t="s">
        <v>24</v>
      </c>
      <c r="E203">
        <v>2607</v>
      </c>
      <c r="F203" t="s">
        <v>10</v>
      </c>
      <c r="G203">
        <v>73</v>
      </c>
      <c r="H203">
        <v>1537.27</v>
      </c>
      <c r="I203">
        <v>176</v>
      </c>
      <c r="J203">
        <f t="shared" si="3"/>
        <v>270559.52</v>
      </c>
    </row>
    <row r="204" spans="1:10" x14ac:dyDescent="0.35">
      <c r="A204">
        <v>107</v>
      </c>
      <c r="B204" t="s">
        <v>28</v>
      </c>
      <c r="C204" t="s">
        <v>13</v>
      </c>
      <c r="D204" t="s">
        <v>12</v>
      </c>
      <c r="E204">
        <v>7532</v>
      </c>
      <c r="F204" t="s">
        <v>10</v>
      </c>
      <c r="G204">
        <v>68</v>
      </c>
      <c r="H204">
        <v>278.66000000000003</v>
      </c>
      <c r="I204">
        <v>125</v>
      </c>
      <c r="J204">
        <f t="shared" si="3"/>
        <v>34832.5</v>
      </c>
    </row>
    <row r="205" spans="1:10" x14ac:dyDescent="0.35">
      <c r="A205">
        <v>108</v>
      </c>
      <c r="B205" t="s">
        <v>28</v>
      </c>
      <c r="C205" t="s">
        <v>20</v>
      </c>
      <c r="D205" t="s">
        <v>22</v>
      </c>
      <c r="E205">
        <v>3314</v>
      </c>
      <c r="F205" t="s">
        <v>14</v>
      </c>
      <c r="G205">
        <v>47</v>
      </c>
      <c r="H205">
        <v>1414.68</v>
      </c>
      <c r="I205">
        <v>127</v>
      </c>
      <c r="J205">
        <f t="shared" si="3"/>
        <v>179664.36000000002</v>
      </c>
    </row>
    <row r="206" spans="1:10" x14ac:dyDescent="0.35">
      <c r="A206">
        <v>121</v>
      </c>
      <c r="B206" t="s">
        <v>28</v>
      </c>
      <c r="C206" t="s">
        <v>20</v>
      </c>
      <c r="D206" t="s">
        <v>23</v>
      </c>
      <c r="E206">
        <v>2060</v>
      </c>
      <c r="F206" t="s">
        <v>14</v>
      </c>
      <c r="G206">
        <v>76</v>
      </c>
      <c r="H206">
        <v>293.77</v>
      </c>
      <c r="I206">
        <v>200</v>
      </c>
      <c r="J206">
        <f t="shared" si="3"/>
        <v>58754</v>
      </c>
    </row>
    <row r="207" spans="1:10" x14ac:dyDescent="0.35">
      <c r="A207">
        <v>129</v>
      </c>
      <c r="B207" t="s">
        <v>28</v>
      </c>
      <c r="C207" t="s">
        <v>17</v>
      </c>
      <c r="D207" t="s">
        <v>16</v>
      </c>
      <c r="E207">
        <v>7895</v>
      </c>
      <c r="F207" t="s">
        <v>14</v>
      </c>
      <c r="G207">
        <v>83</v>
      </c>
      <c r="H207">
        <v>547.91</v>
      </c>
      <c r="I207">
        <v>109</v>
      </c>
      <c r="J207">
        <f t="shared" si="3"/>
        <v>59722.189999999995</v>
      </c>
    </row>
    <row r="208" spans="1:10" x14ac:dyDescent="0.35">
      <c r="A208">
        <v>131</v>
      </c>
      <c r="B208" t="s">
        <v>28</v>
      </c>
      <c r="C208" t="s">
        <v>16</v>
      </c>
      <c r="D208" t="s">
        <v>17</v>
      </c>
      <c r="E208">
        <v>9975</v>
      </c>
      <c r="F208" t="s">
        <v>14</v>
      </c>
      <c r="G208">
        <v>108</v>
      </c>
      <c r="H208">
        <v>248.52</v>
      </c>
      <c r="I208">
        <v>67</v>
      </c>
      <c r="J208">
        <f t="shared" si="3"/>
        <v>16650.84</v>
      </c>
    </row>
    <row r="209" spans="1:10" x14ac:dyDescent="0.35">
      <c r="A209">
        <v>139</v>
      </c>
      <c r="B209" t="s">
        <v>28</v>
      </c>
      <c r="C209" t="s">
        <v>23</v>
      </c>
      <c r="D209" t="s">
        <v>9</v>
      </c>
      <c r="E209">
        <v>7324</v>
      </c>
      <c r="F209" t="s">
        <v>10</v>
      </c>
      <c r="G209">
        <v>71</v>
      </c>
      <c r="H209">
        <v>1268.99</v>
      </c>
      <c r="I209">
        <v>182</v>
      </c>
      <c r="J209">
        <f t="shared" si="3"/>
        <v>230956.18</v>
      </c>
    </row>
    <row r="210" spans="1:10" x14ac:dyDescent="0.35">
      <c r="A210">
        <v>178</v>
      </c>
      <c r="B210" t="s">
        <v>28</v>
      </c>
      <c r="C210" t="s">
        <v>22</v>
      </c>
      <c r="D210" t="s">
        <v>8</v>
      </c>
      <c r="E210">
        <v>6188</v>
      </c>
      <c r="F210" t="s">
        <v>18</v>
      </c>
      <c r="G210">
        <v>78</v>
      </c>
      <c r="H210">
        <v>361.61</v>
      </c>
      <c r="I210">
        <v>121</v>
      </c>
      <c r="J210">
        <f t="shared" si="3"/>
        <v>43754.810000000005</v>
      </c>
    </row>
    <row r="211" spans="1:10" x14ac:dyDescent="0.35">
      <c r="A211">
        <v>180</v>
      </c>
      <c r="B211" t="s">
        <v>28</v>
      </c>
      <c r="C211" t="s">
        <v>12</v>
      </c>
      <c r="D211" t="s">
        <v>13</v>
      </c>
      <c r="E211">
        <v>695</v>
      </c>
      <c r="F211" t="s">
        <v>18</v>
      </c>
      <c r="G211">
        <v>75</v>
      </c>
      <c r="H211">
        <v>2472.36</v>
      </c>
      <c r="I211">
        <v>29</v>
      </c>
      <c r="J211">
        <f t="shared" si="3"/>
        <v>71698.44</v>
      </c>
    </row>
    <row r="212" spans="1:10" x14ac:dyDescent="0.35">
      <c r="A212">
        <v>181</v>
      </c>
      <c r="B212" t="s">
        <v>28</v>
      </c>
      <c r="C212" t="s">
        <v>20</v>
      </c>
      <c r="D212" t="s">
        <v>24</v>
      </c>
      <c r="E212">
        <v>8149</v>
      </c>
      <c r="F212" t="s">
        <v>10</v>
      </c>
      <c r="G212">
        <v>105</v>
      </c>
      <c r="H212">
        <v>1226.6300000000001</v>
      </c>
      <c r="I212">
        <v>148</v>
      </c>
      <c r="J212">
        <f t="shared" si="3"/>
        <v>181541.24000000002</v>
      </c>
    </row>
    <row r="213" spans="1:10" x14ac:dyDescent="0.35">
      <c r="A213">
        <v>186</v>
      </c>
      <c r="B213" t="s">
        <v>28</v>
      </c>
      <c r="C213" t="s">
        <v>13</v>
      </c>
      <c r="D213" t="s">
        <v>17</v>
      </c>
      <c r="E213">
        <v>2829</v>
      </c>
      <c r="F213" t="s">
        <v>14</v>
      </c>
      <c r="G213">
        <v>117</v>
      </c>
      <c r="H213">
        <v>1494.54</v>
      </c>
      <c r="I213">
        <v>73</v>
      </c>
      <c r="J213">
        <f t="shared" si="3"/>
        <v>109101.42</v>
      </c>
    </row>
    <row r="214" spans="1:10" x14ac:dyDescent="0.35">
      <c r="A214">
        <v>198</v>
      </c>
      <c r="B214" t="s">
        <v>28</v>
      </c>
      <c r="C214" t="s">
        <v>20</v>
      </c>
      <c r="D214" t="s">
        <v>17</v>
      </c>
      <c r="E214">
        <v>8465</v>
      </c>
      <c r="F214" t="s">
        <v>10</v>
      </c>
      <c r="G214">
        <v>13</v>
      </c>
      <c r="H214">
        <v>1616.61</v>
      </c>
      <c r="I214">
        <v>34</v>
      </c>
      <c r="J214">
        <f t="shared" si="3"/>
        <v>54964.74</v>
      </c>
    </row>
    <row r="215" spans="1:10" x14ac:dyDescent="0.35">
      <c r="A215">
        <v>201</v>
      </c>
      <c r="B215" t="s">
        <v>28</v>
      </c>
      <c r="C215" t="s">
        <v>17</v>
      </c>
      <c r="D215" t="s">
        <v>23</v>
      </c>
      <c r="E215">
        <v>11551</v>
      </c>
      <c r="F215" t="s">
        <v>10</v>
      </c>
      <c r="G215">
        <v>109</v>
      </c>
      <c r="H215">
        <v>2040.9</v>
      </c>
      <c r="I215">
        <v>167</v>
      </c>
      <c r="J215">
        <f t="shared" si="3"/>
        <v>340830.3</v>
      </c>
    </row>
    <row r="216" spans="1:10" x14ac:dyDescent="0.35">
      <c r="A216">
        <v>206</v>
      </c>
      <c r="B216" t="s">
        <v>28</v>
      </c>
      <c r="C216" t="s">
        <v>17</v>
      </c>
      <c r="D216" t="s">
        <v>8</v>
      </c>
      <c r="E216">
        <v>1531</v>
      </c>
      <c r="F216" t="s">
        <v>14</v>
      </c>
      <c r="G216">
        <v>102</v>
      </c>
      <c r="H216">
        <v>1615.37</v>
      </c>
      <c r="I216">
        <v>23</v>
      </c>
      <c r="J216">
        <f t="shared" si="3"/>
        <v>37153.509999999995</v>
      </c>
    </row>
    <row r="217" spans="1:10" x14ac:dyDescent="0.35">
      <c r="A217">
        <v>212</v>
      </c>
      <c r="B217" t="s">
        <v>28</v>
      </c>
      <c r="C217" t="s">
        <v>17</v>
      </c>
      <c r="D217" t="s">
        <v>8</v>
      </c>
      <c r="E217">
        <v>3843</v>
      </c>
      <c r="F217" t="s">
        <v>18</v>
      </c>
      <c r="G217">
        <v>81</v>
      </c>
      <c r="H217">
        <v>4174.01</v>
      </c>
      <c r="I217">
        <v>166</v>
      </c>
      <c r="J217">
        <f t="shared" si="3"/>
        <v>692885.66</v>
      </c>
    </row>
    <row r="218" spans="1:10" x14ac:dyDescent="0.35">
      <c r="A218">
        <v>214</v>
      </c>
      <c r="B218" t="s">
        <v>28</v>
      </c>
      <c r="C218" t="s">
        <v>12</v>
      </c>
      <c r="D218" t="s">
        <v>24</v>
      </c>
      <c r="E218">
        <v>6704</v>
      </c>
      <c r="F218" t="s">
        <v>14</v>
      </c>
      <c r="G218">
        <v>64</v>
      </c>
      <c r="H218">
        <v>1066.93</v>
      </c>
      <c r="I218">
        <v>41</v>
      </c>
      <c r="J218">
        <f t="shared" si="3"/>
        <v>43744.130000000005</v>
      </c>
    </row>
    <row r="219" spans="1:10" x14ac:dyDescent="0.35">
      <c r="A219">
        <v>228</v>
      </c>
      <c r="B219" t="s">
        <v>28</v>
      </c>
      <c r="C219" t="s">
        <v>13</v>
      </c>
      <c r="D219" t="s">
        <v>17</v>
      </c>
      <c r="E219">
        <v>9316</v>
      </c>
      <c r="F219" t="s">
        <v>10</v>
      </c>
      <c r="G219">
        <v>60</v>
      </c>
      <c r="H219">
        <v>2392.27</v>
      </c>
      <c r="I219">
        <v>30</v>
      </c>
      <c r="J219">
        <f t="shared" si="3"/>
        <v>71768.100000000006</v>
      </c>
    </row>
    <row r="220" spans="1:10" x14ac:dyDescent="0.35">
      <c r="A220">
        <v>239</v>
      </c>
      <c r="B220" t="s">
        <v>28</v>
      </c>
      <c r="C220" t="s">
        <v>8</v>
      </c>
      <c r="D220" t="s">
        <v>17</v>
      </c>
      <c r="E220">
        <v>10724</v>
      </c>
      <c r="F220" t="s">
        <v>18</v>
      </c>
      <c r="G220">
        <v>31</v>
      </c>
      <c r="H220">
        <v>6845.55</v>
      </c>
      <c r="I220">
        <v>56</v>
      </c>
      <c r="J220">
        <f t="shared" si="3"/>
        <v>383350.8</v>
      </c>
    </row>
    <row r="221" spans="1:10" x14ac:dyDescent="0.35">
      <c r="A221">
        <v>244</v>
      </c>
      <c r="B221" t="s">
        <v>28</v>
      </c>
      <c r="C221" t="s">
        <v>20</v>
      </c>
      <c r="D221" t="s">
        <v>17</v>
      </c>
      <c r="E221">
        <v>7406</v>
      </c>
      <c r="F221" t="s">
        <v>14</v>
      </c>
      <c r="G221">
        <v>34</v>
      </c>
      <c r="H221">
        <v>1073.3599999999999</v>
      </c>
      <c r="I221">
        <v>87</v>
      </c>
      <c r="J221">
        <f t="shared" si="3"/>
        <v>93382.319999999992</v>
      </c>
    </row>
    <row r="222" spans="1:10" x14ac:dyDescent="0.35">
      <c r="A222">
        <v>6</v>
      </c>
      <c r="B222" t="s">
        <v>30</v>
      </c>
      <c r="C222" t="s">
        <v>8</v>
      </c>
      <c r="D222" t="s">
        <v>12</v>
      </c>
      <c r="E222">
        <v>9382</v>
      </c>
      <c r="F222" t="s">
        <v>18</v>
      </c>
      <c r="G222">
        <v>19</v>
      </c>
      <c r="H222">
        <v>372.85</v>
      </c>
      <c r="I222">
        <v>96</v>
      </c>
      <c r="J222">
        <f t="shared" si="3"/>
        <v>35793.600000000006</v>
      </c>
    </row>
    <row r="223" spans="1:10" x14ac:dyDescent="0.35">
      <c r="A223">
        <v>8</v>
      </c>
      <c r="B223" t="s">
        <v>30</v>
      </c>
      <c r="C223" t="s">
        <v>12</v>
      </c>
      <c r="D223" t="s">
        <v>22</v>
      </c>
      <c r="E223">
        <v>6122</v>
      </c>
      <c r="F223" t="s">
        <v>18</v>
      </c>
      <c r="G223">
        <v>88</v>
      </c>
      <c r="H223">
        <v>1120.52</v>
      </c>
      <c r="I223">
        <v>16</v>
      </c>
      <c r="J223">
        <f t="shared" si="3"/>
        <v>17928.32</v>
      </c>
    </row>
    <row r="224" spans="1:10" x14ac:dyDescent="0.35">
      <c r="A224">
        <v>17</v>
      </c>
      <c r="B224" t="s">
        <v>30</v>
      </c>
      <c r="C224" t="s">
        <v>23</v>
      </c>
      <c r="D224" t="s">
        <v>8</v>
      </c>
      <c r="E224">
        <v>5573</v>
      </c>
      <c r="F224" t="s">
        <v>14</v>
      </c>
      <c r="G224">
        <v>82</v>
      </c>
      <c r="H224">
        <v>1298.3699999999999</v>
      </c>
      <c r="I224">
        <v>103</v>
      </c>
      <c r="J224">
        <f t="shared" si="3"/>
        <v>133732.10999999999</v>
      </c>
    </row>
    <row r="225" spans="1:10" x14ac:dyDescent="0.35">
      <c r="A225">
        <v>53</v>
      </c>
      <c r="B225" t="s">
        <v>30</v>
      </c>
      <c r="C225" t="s">
        <v>13</v>
      </c>
      <c r="D225" t="s">
        <v>12</v>
      </c>
      <c r="E225">
        <v>5677</v>
      </c>
      <c r="F225" t="s">
        <v>10</v>
      </c>
      <c r="G225">
        <v>76</v>
      </c>
      <c r="H225">
        <v>1501.05</v>
      </c>
      <c r="I225">
        <v>109</v>
      </c>
      <c r="J225">
        <f t="shared" si="3"/>
        <v>163614.44999999998</v>
      </c>
    </row>
    <row r="226" spans="1:10" x14ac:dyDescent="0.35">
      <c r="A226">
        <v>54</v>
      </c>
      <c r="B226" t="s">
        <v>30</v>
      </c>
      <c r="C226" t="s">
        <v>9</v>
      </c>
      <c r="D226" t="s">
        <v>24</v>
      </c>
      <c r="E226">
        <v>11328</v>
      </c>
      <c r="F226" t="s">
        <v>14</v>
      </c>
      <c r="G226">
        <v>80</v>
      </c>
      <c r="H226">
        <v>6071.56</v>
      </c>
      <c r="I226">
        <v>11</v>
      </c>
      <c r="J226">
        <f t="shared" si="3"/>
        <v>66787.16</v>
      </c>
    </row>
    <row r="227" spans="1:10" x14ac:dyDescent="0.35">
      <c r="A227">
        <v>56</v>
      </c>
      <c r="B227" t="s">
        <v>30</v>
      </c>
      <c r="C227" t="s">
        <v>9</v>
      </c>
      <c r="D227" t="s">
        <v>23</v>
      </c>
      <c r="E227">
        <v>9950</v>
      </c>
      <c r="F227" t="s">
        <v>10</v>
      </c>
      <c r="G227">
        <v>66</v>
      </c>
      <c r="H227">
        <v>1005.86</v>
      </c>
      <c r="I227">
        <v>122</v>
      </c>
      <c r="J227">
        <f t="shared" si="3"/>
        <v>122714.92</v>
      </c>
    </row>
    <row r="228" spans="1:10" x14ac:dyDescent="0.35">
      <c r="A228">
        <v>66</v>
      </c>
      <c r="B228" t="s">
        <v>30</v>
      </c>
      <c r="C228" t="s">
        <v>16</v>
      </c>
      <c r="D228" t="s">
        <v>17</v>
      </c>
      <c r="E228">
        <v>718</v>
      </c>
      <c r="F228" t="s">
        <v>10</v>
      </c>
      <c r="G228">
        <v>72</v>
      </c>
      <c r="H228">
        <v>968.12</v>
      </c>
      <c r="I228">
        <v>59</v>
      </c>
      <c r="J228">
        <f t="shared" si="3"/>
        <v>57119.08</v>
      </c>
    </row>
    <row r="229" spans="1:10" x14ac:dyDescent="0.35">
      <c r="A229">
        <v>69</v>
      </c>
      <c r="B229" t="s">
        <v>30</v>
      </c>
      <c r="C229" t="s">
        <v>16</v>
      </c>
      <c r="D229" t="s">
        <v>20</v>
      </c>
      <c r="E229">
        <v>931</v>
      </c>
      <c r="F229" t="s">
        <v>18</v>
      </c>
      <c r="G229">
        <v>6</v>
      </c>
      <c r="H229">
        <v>1315.64</v>
      </c>
      <c r="I229">
        <v>152</v>
      </c>
      <c r="J229">
        <f t="shared" si="3"/>
        <v>199977.28000000003</v>
      </c>
    </row>
    <row r="230" spans="1:10" x14ac:dyDescent="0.35">
      <c r="A230">
        <v>85</v>
      </c>
      <c r="B230" t="s">
        <v>30</v>
      </c>
      <c r="C230" t="s">
        <v>9</v>
      </c>
      <c r="D230" t="s">
        <v>24</v>
      </c>
      <c r="E230">
        <v>10287</v>
      </c>
      <c r="F230" t="s">
        <v>14</v>
      </c>
      <c r="G230">
        <v>112</v>
      </c>
      <c r="H230">
        <v>2854.75</v>
      </c>
      <c r="I230">
        <v>94</v>
      </c>
      <c r="J230">
        <f t="shared" si="3"/>
        <v>268346.5</v>
      </c>
    </row>
    <row r="231" spans="1:10" x14ac:dyDescent="0.35">
      <c r="A231">
        <v>104</v>
      </c>
      <c r="B231" t="s">
        <v>30</v>
      </c>
      <c r="C231" t="s">
        <v>8</v>
      </c>
      <c r="D231" t="s">
        <v>9</v>
      </c>
      <c r="E231">
        <v>3857</v>
      </c>
      <c r="F231" t="s">
        <v>14</v>
      </c>
      <c r="G231">
        <v>60</v>
      </c>
      <c r="H231">
        <v>281.79000000000002</v>
      </c>
      <c r="I231">
        <v>155</v>
      </c>
      <c r="J231">
        <f t="shared" si="3"/>
        <v>43677.450000000004</v>
      </c>
    </row>
    <row r="232" spans="1:10" x14ac:dyDescent="0.35">
      <c r="A232">
        <v>115</v>
      </c>
      <c r="B232" t="s">
        <v>30</v>
      </c>
      <c r="C232" t="s">
        <v>22</v>
      </c>
      <c r="D232" t="s">
        <v>24</v>
      </c>
      <c r="E232">
        <v>10409</v>
      </c>
      <c r="F232" t="s">
        <v>18</v>
      </c>
      <c r="G232">
        <v>75</v>
      </c>
      <c r="H232">
        <v>8852.69</v>
      </c>
      <c r="I232">
        <v>121</v>
      </c>
      <c r="J232">
        <f t="shared" si="3"/>
        <v>1071175.49</v>
      </c>
    </row>
    <row r="233" spans="1:10" x14ac:dyDescent="0.35">
      <c r="A233">
        <v>119</v>
      </c>
      <c r="B233" t="s">
        <v>30</v>
      </c>
      <c r="C233" t="s">
        <v>13</v>
      </c>
      <c r="D233" t="s">
        <v>24</v>
      </c>
      <c r="E233">
        <v>2974</v>
      </c>
      <c r="F233" t="s">
        <v>10</v>
      </c>
      <c r="G233">
        <v>117</v>
      </c>
      <c r="H233">
        <v>1091.1199999999999</v>
      </c>
      <c r="I233">
        <v>117</v>
      </c>
      <c r="J233">
        <f t="shared" si="3"/>
        <v>127661.04</v>
      </c>
    </row>
    <row r="234" spans="1:10" x14ac:dyDescent="0.35">
      <c r="A234">
        <v>123</v>
      </c>
      <c r="B234" t="s">
        <v>30</v>
      </c>
      <c r="C234" t="s">
        <v>17</v>
      </c>
      <c r="D234" t="s">
        <v>9</v>
      </c>
      <c r="E234">
        <v>7345</v>
      </c>
      <c r="F234" t="s">
        <v>10</v>
      </c>
      <c r="G234">
        <v>86</v>
      </c>
      <c r="H234">
        <v>1610.66</v>
      </c>
      <c r="I234">
        <v>176</v>
      </c>
      <c r="J234">
        <f t="shared" si="3"/>
        <v>283476.16000000003</v>
      </c>
    </row>
    <row r="235" spans="1:10" x14ac:dyDescent="0.35">
      <c r="A235">
        <v>144</v>
      </c>
      <c r="B235" t="s">
        <v>30</v>
      </c>
      <c r="C235" t="s">
        <v>22</v>
      </c>
      <c r="D235" t="s">
        <v>13</v>
      </c>
      <c r="E235">
        <v>11773</v>
      </c>
      <c r="F235" t="s">
        <v>14</v>
      </c>
      <c r="G235">
        <v>56</v>
      </c>
      <c r="H235">
        <v>1594.79</v>
      </c>
      <c r="I235">
        <v>179</v>
      </c>
      <c r="J235">
        <f t="shared" si="3"/>
        <v>285467.40999999997</v>
      </c>
    </row>
    <row r="236" spans="1:10" x14ac:dyDescent="0.35">
      <c r="A236">
        <v>148</v>
      </c>
      <c r="B236" t="s">
        <v>30</v>
      </c>
      <c r="C236" t="s">
        <v>16</v>
      </c>
      <c r="D236" t="s">
        <v>17</v>
      </c>
      <c r="E236">
        <v>7661</v>
      </c>
      <c r="F236" t="s">
        <v>10</v>
      </c>
      <c r="G236">
        <v>71</v>
      </c>
      <c r="H236">
        <v>2398.7800000000002</v>
      </c>
      <c r="I236">
        <v>121</v>
      </c>
      <c r="J236">
        <f t="shared" si="3"/>
        <v>290252.38</v>
      </c>
    </row>
    <row r="237" spans="1:10" x14ac:dyDescent="0.35">
      <c r="A237">
        <v>153</v>
      </c>
      <c r="B237" t="s">
        <v>30</v>
      </c>
      <c r="C237" t="s">
        <v>17</v>
      </c>
      <c r="D237" t="s">
        <v>8</v>
      </c>
      <c r="E237">
        <v>1548</v>
      </c>
      <c r="F237" t="s">
        <v>18</v>
      </c>
      <c r="G237">
        <v>50</v>
      </c>
      <c r="H237">
        <v>2322.56</v>
      </c>
      <c r="I237">
        <v>192</v>
      </c>
      <c r="J237">
        <f t="shared" si="3"/>
        <v>445931.52000000002</v>
      </c>
    </row>
    <row r="238" spans="1:10" x14ac:dyDescent="0.35">
      <c r="A238">
        <v>157</v>
      </c>
      <c r="B238" t="s">
        <v>30</v>
      </c>
      <c r="C238" t="s">
        <v>9</v>
      </c>
      <c r="D238" t="s">
        <v>12</v>
      </c>
      <c r="E238">
        <v>6948</v>
      </c>
      <c r="F238" t="s">
        <v>18</v>
      </c>
      <c r="G238">
        <v>52</v>
      </c>
      <c r="H238">
        <v>1783.66</v>
      </c>
      <c r="I238">
        <v>142</v>
      </c>
      <c r="J238">
        <f t="shared" si="3"/>
        <v>253279.72</v>
      </c>
    </row>
    <row r="239" spans="1:10" x14ac:dyDescent="0.35">
      <c r="A239">
        <v>177</v>
      </c>
      <c r="B239" t="s">
        <v>30</v>
      </c>
      <c r="C239" t="s">
        <v>13</v>
      </c>
      <c r="D239" t="s">
        <v>22</v>
      </c>
      <c r="E239">
        <v>336</v>
      </c>
      <c r="F239" t="s">
        <v>18</v>
      </c>
      <c r="G239">
        <v>45</v>
      </c>
      <c r="H239">
        <v>562.73</v>
      </c>
      <c r="I239">
        <v>146</v>
      </c>
      <c r="J239">
        <f t="shared" si="3"/>
        <v>82158.58</v>
      </c>
    </row>
    <row r="240" spans="1:10" x14ac:dyDescent="0.35">
      <c r="A240">
        <v>183</v>
      </c>
      <c r="B240" t="s">
        <v>30</v>
      </c>
      <c r="C240" t="s">
        <v>12</v>
      </c>
      <c r="D240" t="s">
        <v>8</v>
      </c>
      <c r="E240">
        <v>11903</v>
      </c>
      <c r="F240" t="s">
        <v>10</v>
      </c>
      <c r="G240">
        <v>41</v>
      </c>
      <c r="H240">
        <v>6895.45</v>
      </c>
      <c r="I240">
        <v>152</v>
      </c>
      <c r="J240">
        <f t="shared" si="3"/>
        <v>1048108.4</v>
      </c>
    </row>
    <row r="241" spans="1:10" x14ac:dyDescent="0.35">
      <c r="A241">
        <v>187</v>
      </c>
      <c r="B241" t="s">
        <v>30</v>
      </c>
      <c r="C241" t="s">
        <v>22</v>
      </c>
      <c r="D241" t="s">
        <v>23</v>
      </c>
      <c r="E241">
        <v>2609</v>
      </c>
      <c r="F241" t="s">
        <v>18</v>
      </c>
      <c r="G241">
        <v>31</v>
      </c>
      <c r="H241">
        <v>3467.59</v>
      </c>
      <c r="I241">
        <v>41</v>
      </c>
      <c r="J241">
        <f t="shared" si="3"/>
        <v>142171.19</v>
      </c>
    </row>
    <row r="242" spans="1:10" x14ac:dyDescent="0.35">
      <c r="A242">
        <v>211</v>
      </c>
      <c r="B242" t="s">
        <v>30</v>
      </c>
      <c r="C242" t="s">
        <v>24</v>
      </c>
      <c r="D242" t="s">
        <v>16</v>
      </c>
      <c r="E242">
        <v>3045</v>
      </c>
      <c r="F242" t="s">
        <v>18</v>
      </c>
      <c r="G242">
        <v>98</v>
      </c>
      <c r="H242">
        <v>875.76</v>
      </c>
      <c r="I242">
        <v>98</v>
      </c>
      <c r="J242">
        <f t="shared" si="3"/>
        <v>85824.48</v>
      </c>
    </row>
    <row r="243" spans="1:10" x14ac:dyDescent="0.35">
      <c r="A243">
        <v>218</v>
      </c>
      <c r="B243" t="s">
        <v>30</v>
      </c>
      <c r="C243" t="s">
        <v>17</v>
      </c>
      <c r="D243" t="s">
        <v>24</v>
      </c>
      <c r="E243">
        <v>10682</v>
      </c>
      <c r="F243" t="s">
        <v>10</v>
      </c>
      <c r="G243">
        <v>5</v>
      </c>
      <c r="H243">
        <v>1686.46</v>
      </c>
      <c r="I243">
        <v>44</v>
      </c>
      <c r="J243">
        <f t="shared" si="3"/>
        <v>74204.240000000005</v>
      </c>
    </row>
    <row r="244" spans="1:10" x14ac:dyDescent="0.35">
      <c r="A244">
        <v>221</v>
      </c>
      <c r="B244" t="s">
        <v>30</v>
      </c>
      <c r="C244" t="s">
        <v>13</v>
      </c>
      <c r="D244" t="s">
        <v>9</v>
      </c>
      <c r="E244">
        <v>636</v>
      </c>
      <c r="F244" t="s">
        <v>18</v>
      </c>
      <c r="G244">
        <v>67</v>
      </c>
      <c r="H244">
        <v>1835.17</v>
      </c>
      <c r="I244">
        <v>65</v>
      </c>
      <c r="J244">
        <f t="shared" si="3"/>
        <v>119286.05</v>
      </c>
    </row>
    <row r="245" spans="1:10" x14ac:dyDescent="0.35">
      <c r="A245">
        <v>224</v>
      </c>
      <c r="B245" t="s">
        <v>30</v>
      </c>
      <c r="C245" t="s">
        <v>22</v>
      </c>
      <c r="D245" t="s">
        <v>16</v>
      </c>
      <c r="E245">
        <v>6204</v>
      </c>
      <c r="F245" t="s">
        <v>14</v>
      </c>
      <c r="G245">
        <v>91</v>
      </c>
      <c r="H245">
        <v>2915.5</v>
      </c>
      <c r="I245">
        <v>18</v>
      </c>
      <c r="J245">
        <f t="shared" si="3"/>
        <v>52479</v>
      </c>
    </row>
    <row r="246" spans="1:10" x14ac:dyDescent="0.35">
      <c r="A246">
        <v>225</v>
      </c>
      <c r="B246" t="s">
        <v>30</v>
      </c>
      <c r="C246" t="s">
        <v>17</v>
      </c>
      <c r="D246" t="s">
        <v>9</v>
      </c>
      <c r="E246">
        <v>9699</v>
      </c>
      <c r="F246" t="s">
        <v>18</v>
      </c>
      <c r="G246">
        <v>34</v>
      </c>
      <c r="H246">
        <v>1167.8800000000001</v>
      </c>
      <c r="I246">
        <v>77</v>
      </c>
      <c r="J246">
        <f t="shared" si="3"/>
        <v>89926.760000000009</v>
      </c>
    </row>
    <row r="247" spans="1:10" x14ac:dyDescent="0.35">
      <c r="A247">
        <v>229</v>
      </c>
      <c r="B247" t="s">
        <v>30</v>
      </c>
      <c r="C247" t="s">
        <v>20</v>
      </c>
      <c r="D247" t="s">
        <v>9</v>
      </c>
      <c r="E247">
        <v>9280</v>
      </c>
      <c r="F247" t="s">
        <v>14</v>
      </c>
      <c r="G247">
        <v>61</v>
      </c>
      <c r="H247">
        <v>1513.01</v>
      </c>
      <c r="I247">
        <v>125</v>
      </c>
      <c r="J247">
        <f t="shared" si="3"/>
        <v>189126.25</v>
      </c>
    </row>
    <row r="248" spans="1:10" x14ac:dyDescent="0.35">
      <c r="A248">
        <v>232</v>
      </c>
      <c r="B248" t="s">
        <v>30</v>
      </c>
      <c r="C248" t="s">
        <v>22</v>
      </c>
      <c r="D248" t="s">
        <v>24</v>
      </c>
      <c r="E248">
        <v>4307</v>
      </c>
      <c r="F248" t="s">
        <v>14</v>
      </c>
      <c r="G248">
        <v>114</v>
      </c>
      <c r="H248">
        <v>4298.76</v>
      </c>
      <c r="I248">
        <v>132</v>
      </c>
      <c r="J248">
        <f t="shared" si="3"/>
        <v>567436.32000000007</v>
      </c>
    </row>
    <row r="249" spans="1:10" x14ac:dyDescent="0.35">
      <c r="A249">
        <v>236</v>
      </c>
      <c r="B249" t="s">
        <v>30</v>
      </c>
      <c r="C249" t="s">
        <v>8</v>
      </c>
      <c r="D249" t="s">
        <v>12</v>
      </c>
      <c r="E249">
        <v>9840</v>
      </c>
      <c r="F249" t="s">
        <v>10</v>
      </c>
      <c r="G249">
        <v>4</v>
      </c>
      <c r="H249">
        <v>3008.26</v>
      </c>
      <c r="I249">
        <v>173</v>
      </c>
      <c r="J249">
        <f t="shared" si="3"/>
        <v>520428.98000000004</v>
      </c>
    </row>
    <row r="250" spans="1:10" x14ac:dyDescent="0.35">
      <c r="A250">
        <v>240</v>
      </c>
      <c r="B250" t="s">
        <v>30</v>
      </c>
      <c r="C250" t="s">
        <v>8</v>
      </c>
      <c r="D250" t="s">
        <v>12</v>
      </c>
      <c r="E250">
        <v>6955</v>
      </c>
      <c r="F250" t="s">
        <v>14</v>
      </c>
      <c r="G250">
        <v>7</v>
      </c>
      <c r="H250">
        <v>2540.92</v>
      </c>
      <c r="I250">
        <v>197</v>
      </c>
      <c r="J250">
        <f t="shared" si="3"/>
        <v>500561.24</v>
      </c>
    </row>
    <row r="251" spans="1:10" x14ac:dyDescent="0.35">
      <c r="A251">
        <v>247</v>
      </c>
      <c r="B251" t="s">
        <v>30</v>
      </c>
      <c r="C251" t="s">
        <v>16</v>
      </c>
      <c r="D251" t="s">
        <v>9</v>
      </c>
      <c r="E251">
        <v>6941</v>
      </c>
      <c r="F251" t="s">
        <v>18</v>
      </c>
      <c r="G251">
        <v>36</v>
      </c>
      <c r="H251">
        <v>1525.2</v>
      </c>
      <c r="I251">
        <v>98</v>
      </c>
      <c r="J251">
        <f t="shared" si="3"/>
        <v>149469.6</v>
      </c>
    </row>
  </sheetData>
  <autoFilter ref="A1:J251" xr:uid="{E98148C9-0496-461F-8C4A-5FBABEA7FBC8}">
    <sortState xmlns:xlrd2="http://schemas.microsoft.com/office/spreadsheetml/2017/richdata2" ref="A2:J251">
      <sortCondition ref="B1:B25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63DAD-7C8E-48D0-80CF-35EAEB04E9D7}">
  <dimension ref="A1:J251"/>
  <sheetViews>
    <sheetView workbookViewId="0">
      <selection activeCell="L3" sqref="L3"/>
    </sheetView>
  </sheetViews>
  <sheetFormatPr defaultRowHeight="14.5" x14ac:dyDescent="0.35"/>
  <cols>
    <col min="1" max="1" width="10.6328125" customWidth="1"/>
    <col min="2" max="2" width="15.81640625" customWidth="1"/>
    <col min="3" max="3" width="12.6328125" customWidth="1"/>
    <col min="4" max="4" width="12.54296875" customWidth="1"/>
    <col min="5" max="5" width="13.6328125" customWidth="1"/>
    <col min="7" max="7" width="23" customWidth="1"/>
    <col min="8" max="8" width="11.36328125" customWidth="1"/>
    <col min="9" max="9" width="11.7265625" customWidth="1"/>
    <col min="10" max="10" width="14.453125" customWidth="1"/>
  </cols>
  <sheetData>
    <row r="1" spans="1:10" x14ac:dyDescent="0.35">
      <c r="A1" t="s">
        <v>0</v>
      </c>
      <c r="B1" t="s">
        <v>1</v>
      </c>
      <c r="C1" t="s">
        <v>2</v>
      </c>
      <c r="D1" t="s">
        <v>3</v>
      </c>
      <c r="E1" t="s">
        <v>4</v>
      </c>
      <c r="F1" t="s">
        <v>5</v>
      </c>
      <c r="G1" t="s">
        <v>6</v>
      </c>
      <c r="H1" t="s">
        <v>7</v>
      </c>
      <c r="I1" t="s">
        <v>26</v>
      </c>
      <c r="J1" t="s">
        <v>27</v>
      </c>
    </row>
    <row r="2" spans="1:10" x14ac:dyDescent="0.35">
      <c r="A2">
        <v>1</v>
      </c>
      <c r="B2" t="s">
        <v>29</v>
      </c>
      <c r="C2" t="s">
        <v>8</v>
      </c>
      <c r="D2" t="s">
        <v>9</v>
      </c>
      <c r="E2">
        <v>2643</v>
      </c>
      <c r="F2" t="s">
        <v>10</v>
      </c>
      <c r="G2">
        <v>28</v>
      </c>
      <c r="H2">
        <v>555.29999999999995</v>
      </c>
      <c r="I2">
        <v>194</v>
      </c>
      <c r="J2">
        <f>H2*I2</f>
        <v>107728.2</v>
      </c>
    </row>
    <row r="3" spans="1:10" x14ac:dyDescent="0.35">
      <c r="A3">
        <v>11</v>
      </c>
      <c r="B3" t="s">
        <v>29</v>
      </c>
      <c r="C3" t="s">
        <v>8</v>
      </c>
      <c r="D3" t="s">
        <v>23</v>
      </c>
      <c r="E3">
        <v>6328</v>
      </c>
      <c r="F3" t="s">
        <v>18</v>
      </c>
      <c r="G3">
        <v>55</v>
      </c>
      <c r="H3">
        <v>2070.27</v>
      </c>
      <c r="I3">
        <v>102</v>
      </c>
      <c r="J3">
        <f t="shared" ref="J3:J66" si="0">H3*I3</f>
        <v>211167.54</v>
      </c>
    </row>
    <row r="4" spans="1:10" x14ac:dyDescent="0.35">
      <c r="A4">
        <v>16</v>
      </c>
      <c r="B4" t="s">
        <v>29</v>
      </c>
      <c r="C4" t="s">
        <v>9</v>
      </c>
      <c r="D4" t="s">
        <v>20</v>
      </c>
      <c r="E4">
        <v>3864</v>
      </c>
      <c r="F4" t="s">
        <v>18</v>
      </c>
      <c r="G4">
        <v>9</v>
      </c>
      <c r="H4">
        <v>1883.11</v>
      </c>
      <c r="I4">
        <v>17</v>
      </c>
      <c r="J4">
        <f t="shared" si="0"/>
        <v>32012.87</v>
      </c>
    </row>
    <row r="5" spans="1:10" x14ac:dyDescent="0.35">
      <c r="A5">
        <v>19</v>
      </c>
      <c r="B5" t="s">
        <v>29</v>
      </c>
      <c r="C5" t="s">
        <v>17</v>
      </c>
      <c r="D5" t="s">
        <v>8</v>
      </c>
      <c r="E5">
        <v>7444</v>
      </c>
      <c r="F5" t="s">
        <v>18</v>
      </c>
      <c r="G5">
        <v>109</v>
      </c>
      <c r="H5">
        <v>5349.65</v>
      </c>
      <c r="I5">
        <v>121</v>
      </c>
      <c r="J5">
        <f t="shared" si="0"/>
        <v>647307.64999999991</v>
      </c>
    </row>
    <row r="6" spans="1:10" x14ac:dyDescent="0.35">
      <c r="A6">
        <v>23</v>
      </c>
      <c r="B6" t="s">
        <v>29</v>
      </c>
      <c r="C6" t="s">
        <v>12</v>
      </c>
      <c r="D6" t="s">
        <v>23</v>
      </c>
      <c r="E6">
        <v>6192</v>
      </c>
      <c r="F6" t="s">
        <v>14</v>
      </c>
      <c r="G6">
        <v>23</v>
      </c>
      <c r="H6">
        <v>516.19000000000005</v>
      </c>
      <c r="I6">
        <v>26</v>
      </c>
      <c r="J6">
        <f t="shared" si="0"/>
        <v>13420.940000000002</v>
      </c>
    </row>
    <row r="7" spans="1:10" x14ac:dyDescent="0.35">
      <c r="A7">
        <v>27</v>
      </c>
      <c r="B7" t="s">
        <v>29</v>
      </c>
      <c r="C7" t="s">
        <v>12</v>
      </c>
      <c r="D7" t="s">
        <v>24</v>
      </c>
      <c r="E7">
        <v>2880</v>
      </c>
      <c r="F7" t="s">
        <v>10</v>
      </c>
      <c r="G7">
        <v>38</v>
      </c>
      <c r="H7">
        <v>6495.84</v>
      </c>
      <c r="I7">
        <v>146</v>
      </c>
      <c r="J7">
        <f t="shared" si="0"/>
        <v>948392.64</v>
      </c>
    </row>
    <row r="8" spans="1:10" x14ac:dyDescent="0.35">
      <c r="A8">
        <v>30</v>
      </c>
      <c r="B8" t="s">
        <v>29</v>
      </c>
      <c r="C8" t="s">
        <v>13</v>
      </c>
      <c r="D8" t="s">
        <v>20</v>
      </c>
      <c r="E8">
        <v>6248</v>
      </c>
      <c r="F8" t="s">
        <v>14</v>
      </c>
      <c r="G8">
        <v>82</v>
      </c>
      <c r="H8">
        <v>439.16</v>
      </c>
      <c r="I8">
        <v>53</v>
      </c>
      <c r="J8">
        <f t="shared" si="0"/>
        <v>23275.48</v>
      </c>
    </row>
    <row r="9" spans="1:10" x14ac:dyDescent="0.35">
      <c r="A9">
        <v>35</v>
      </c>
      <c r="B9" t="s">
        <v>29</v>
      </c>
      <c r="C9" t="s">
        <v>22</v>
      </c>
      <c r="D9" t="s">
        <v>20</v>
      </c>
      <c r="E9">
        <v>5531</v>
      </c>
      <c r="F9" t="s">
        <v>18</v>
      </c>
      <c r="G9">
        <v>45</v>
      </c>
      <c r="H9">
        <v>2323.31</v>
      </c>
      <c r="I9">
        <v>107</v>
      </c>
      <c r="J9">
        <f t="shared" si="0"/>
        <v>248594.16999999998</v>
      </c>
    </row>
    <row r="10" spans="1:10" x14ac:dyDescent="0.35">
      <c r="A10">
        <v>64</v>
      </c>
      <c r="B10" t="s">
        <v>29</v>
      </c>
      <c r="C10" t="s">
        <v>16</v>
      </c>
      <c r="D10" t="s">
        <v>13</v>
      </c>
      <c r="E10">
        <v>6533</v>
      </c>
      <c r="F10" t="s">
        <v>18</v>
      </c>
      <c r="G10">
        <v>37</v>
      </c>
      <c r="H10">
        <v>3032.38</v>
      </c>
      <c r="I10">
        <v>102</v>
      </c>
      <c r="J10">
        <f t="shared" si="0"/>
        <v>309302.76</v>
      </c>
    </row>
    <row r="11" spans="1:10" x14ac:dyDescent="0.35">
      <c r="A11">
        <v>78</v>
      </c>
      <c r="B11" t="s">
        <v>29</v>
      </c>
      <c r="C11" t="s">
        <v>12</v>
      </c>
      <c r="D11" t="s">
        <v>24</v>
      </c>
      <c r="E11">
        <v>8736</v>
      </c>
      <c r="F11" t="s">
        <v>18</v>
      </c>
      <c r="G11">
        <v>61</v>
      </c>
      <c r="H11">
        <v>2282.17</v>
      </c>
      <c r="I11">
        <v>10</v>
      </c>
      <c r="J11">
        <f t="shared" si="0"/>
        <v>22821.7</v>
      </c>
    </row>
    <row r="12" spans="1:10" x14ac:dyDescent="0.35">
      <c r="A12">
        <v>79</v>
      </c>
      <c r="B12" t="s">
        <v>29</v>
      </c>
      <c r="C12" t="s">
        <v>13</v>
      </c>
      <c r="D12" t="s">
        <v>22</v>
      </c>
      <c r="E12">
        <v>965</v>
      </c>
      <c r="F12" t="s">
        <v>10</v>
      </c>
      <c r="G12">
        <v>8</v>
      </c>
      <c r="H12">
        <v>3257.78</v>
      </c>
      <c r="I12">
        <v>104</v>
      </c>
      <c r="J12">
        <f t="shared" si="0"/>
        <v>338809.12</v>
      </c>
    </row>
    <row r="13" spans="1:10" x14ac:dyDescent="0.35">
      <c r="A13">
        <v>80</v>
      </c>
      <c r="B13" t="s">
        <v>29</v>
      </c>
      <c r="C13" t="s">
        <v>23</v>
      </c>
      <c r="D13" t="s">
        <v>12</v>
      </c>
      <c r="E13">
        <v>8125</v>
      </c>
      <c r="F13" t="s">
        <v>14</v>
      </c>
      <c r="G13">
        <v>3</v>
      </c>
      <c r="H13">
        <v>1404.2</v>
      </c>
      <c r="I13">
        <v>129</v>
      </c>
      <c r="J13">
        <f t="shared" si="0"/>
        <v>181141.80000000002</v>
      </c>
    </row>
    <row r="14" spans="1:10" x14ac:dyDescent="0.35">
      <c r="A14">
        <v>83</v>
      </c>
      <c r="B14" t="s">
        <v>29</v>
      </c>
      <c r="C14" t="s">
        <v>22</v>
      </c>
      <c r="D14" t="s">
        <v>16</v>
      </c>
      <c r="E14">
        <v>6644</v>
      </c>
      <c r="F14" t="s">
        <v>18</v>
      </c>
      <c r="G14">
        <v>110</v>
      </c>
      <c r="H14">
        <v>632.41999999999996</v>
      </c>
      <c r="I14">
        <v>88</v>
      </c>
      <c r="J14">
        <f t="shared" si="0"/>
        <v>55652.959999999999</v>
      </c>
    </row>
    <row r="15" spans="1:10" x14ac:dyDescent="0.35">
      <c r="A15">
        <v>101</v>
      </c>
      <c r="B15" t="s">
        <v>29</v>
      </c>
      <c r="C15" t="s">
        <v>23</v>
      </c>
      <c r="D15" t="s">
        <v>22</v>
      </c>
      <c r="E15">
        <v>10818</v>
      </c>
      <c r="F15" t="s">
        <v>10</v>
      </c>
      <c r="G15">
        <v>25</v>
      </c>
      <c r="H15">
        <v>1485.53</v>
      </c>
      <c r="I15">
        <v>146</v>
      </c>
      <c r="J15">
        <f t="shared" si="0"/>
        <v>216887.38</v>
      </c>
    </row>
    <row r="16" spans="1:10" x14ac:dyDescent="0.35">
      <c r="A16">
        <v>112</v>
      </c>
      <c r="B16" t="s">
        <v>29</v>
      </c>
      <c r="C16" t="s">
        <v>22</v>
      </c>
      <c r="D16" t="s">
        <v>24</v>
      </c>
      <c r="E16">
        <v>8949</v>
      </c>
      <c r="F16" t="s">
        <v>18</v>
      </c>
      <c r="G16">
        <v>39</v>
      </c>
      <c r="H16">
        <v>2210.16</v>
      </c>
      <c r="I16">
        <v>194</v>
      </c>
      <c r="J16">
        <f t="shared" si="0"/>
        <v>428771.04</v>
      </c>
    </row>
    <row r="17" spans="1:10" x14ac:dyDescent="0.35">
      <c r="A17">
        <v>114</v>
      </c>
      <c r="B17" t="s">
        <v>29</v>
      </c>
      <c r="C17" t="s">
        <v>24</v>
      </c>
      <c r="D17" t="s">
        <v>9</v>
      </c>
      <c r="E17">
        <v>5301</v>
      </c>
      <c r="F17" t="s">
        <v>10</v>
      </c>
      <c r="G17">
        <v>114</v>
      </c>
      <c r="H17">
        <v>2895.64</v>
      </c>
      <c r="I17">
        <v>125</v>
      </c>
      <c r="J17">
        <f t="shared" si="0"/>
        <v>361955</v>
      </c>
    </row>
    <row r="18" spans="1:10" x14ac:dyDescent="0.35">
      <c r="A18">
        <v>118</v>
      </c>
      <c r="B18" t="s">
        <v>29</v>
      </c>
      <c r="C18" t="s">
        <v>20</v>
      </c>
      <c r="D18" t="s">
        <v>13</v>
      </c>
      <c r="E18">
        <v>7499</v>
      </c>
      <c r="F18" t="s">
        <v>10</v>
      </c>
      <c r="G18">
        <v>3</v>
      </c>
      <c r="H18">
        <v>1334.79</v>
      </c>
      <c r="I18">
        <v>117</v>
      </c>
      <c r="J18">
        <f t="shared" si="0"/>
        <v>156170.43</v>
      </c>
    </row>
    <row r="19" spans="1:10" x14ac:dyDescent="0.35">
      <c r="A19">
        <v>120</v>
      </c>
      <c r="B19" t="s">
        <v>29</v>
      </c>
      <c r="C19" t="s">
        <v>24</v>
      </c>
      <c r="D19" t="s">
        <v>13</v>
      </c>
      <c r="E19">
        <v>5106</v>
      </c>
      <c r="F19" t="s">
        <v>18</v>
      </c>
      <c r="G19">
        <v>50</v>
      </c>
      <c r="H19">
        <v>1929.27</v>
      </c>
      <c r="I19">
        <v>11</v>
      </c>
      <c r="J19">
        <f t="shared" si="0"/>
        <v>21221.97</v>
      </c>
    </row>
    <row r="20" spans="1:10" x14ac:dyDescent="0.35">
      <c r="A20">
        <v>122</v>
      </c>
      <c r="B20" t="s">
        <v>29</v>
      </c>
      <c r="C20" t="s">
        <v>17</v>
      </c>
      <c r="D20" t="s">
        <v>12</v>
      </c>
      <c r="E20">
        <v>2195</v>
      </c>
      <c r="F20" t="s">
        <v>10</v>
      </c>
      <c r="G20">
        <v>97</v>
      </c>
      <c r="H20">
        <v>2807.81</v>
      </c>
      <c r="I20">
        <v>116</v>
      </c>
      <c r="J20">
        <f t="shared" si="0"/>
        <v>325705.96000000002</v>
      </c>
    </row>
    <row r="21" spans="1:10" x14ac:dyDescent="0.35">
      <c r="A21">
        <v>128</v>
      </c>
      <c r="B21" t="s">
        <v>29</v>
      </c>
      <c r="C21" t="s">
        <v>9</v>
      </c>
      <c r="D21" t="s">
        <v>12</v>
      </c>
      <c r="E21">
        <v>7129</v>
      </c>
      <c r="F21" t="s">
        <v>18</v>
      </c>
      <c r="G21">
        <v>63</v>
      </c>
      <c r="H21">
        <v>7601</v>
      </c>
      <c r="I21">
        <v>12</v>
      </c>
      <c r="J21">
        <f t="shared" si="0"/>
        <v>91212</v>
      </c>
    </row>
    <row r="22" spans="1:10" x14ac:dyDescent="0.35">
      <c r="A22">
        <v>134</v>
      </c>
      <c r="B22" t="s">
        <v>29</v>
      </c>
      <c r="C22" t="s">
        <v>13</v>
      </c>
      <c r="D22" t="s">
        <v>24</v>
      </c>
      <c r="E22">
        <v>4205</v>
      </c>
      <c r="F22" t="s">
        <v>10</v>
      </c>
      <c r="G22">
        <v>49</v>
      </c>
      <c r="H22">
        <v>7698.07</v>
      </c>
      <c r="I22">
        <v>93</v>
      </c>
      <c r="J22">
        <f t="shared" si="0"/>
        <v>715920.51</v>
      </c>
    </row>
    <row r="23" spans="1:10" x14ac:dyDescent="0.35">
      <c r="A23">
        <v>135</v>
      </c>
      <c r="B23" t="s">
        <v>29</v>
      </c>
      <c r="C23" t="s">
        <v>9</v>
      </c>
      <c r="D23" t="s">
        <v>24</v>
      </c>
      <c r="E23">
        <v>9160</v>
      </c>
      <c r="F23" t="s">
        <v>10</v>
      </c>
      <c r="G23">
        <v>12</v>
      </c>
      <c r="H23">
        <v>790.36</v>
      </c>
      <c r="I23">
        <v>183</v>
      </c>
      <c r="J23">
        <f t="shared" si="0"/>
        <v>144635.88</v>
      </c>
    </row>
    <row r="24" spans="1:10" x14ac:dyDescent="0.35">
      <c r="A24">
        <v>141</v>
      </c>
      <c r="B24" t="s">
        <v>29</v>
      </c>
      <c r="C24" t="s">
        <v>16</v>
      </c>
      <c r="D24" t="s">
        <v>17</v>
      </c>
      <c r="E24">
        <v>10709</v>
      </c>
      <c r="F24" t="s">
        <v>14</v>
      </c>
      <c r="G24">
        <v>7</v>
      </c>
      <c r="H24">
        <v>2675.72</v>
      </c>
      <c r="I24">
        <v>180</v>
      </c>
      <c r="J24">
        <f t="shared" si="0"/>
        <v>481629.6</v>
      </c>
    </row>
    <row r="25" spans="1:10" x14ac:dyDescent="0.35">
      <c r="A25">
        <v>146</v>
      </c>
      <c r="B25" t="s">
        <v>29</v>
      </c>
      <c r="C25" t="s">
        <v>24</v>
      </c>
      <c r="D25" t="s">
        <v>20</v>
      </c>
      <c r="E25">
        <v>4529</v>
      </c>
      <c r="F25" t="s">
        <v>14</v>
      </c>
      <c r="G25">
        <v>30</v>
      </c>
      <c r="H25">
        <v>185.7</v>
      </c>
      <c r="I25">
        <v>122</v>
      </c>
      <c r="J25">
        <f t="shared" si="0"/>
        <v>22655.399999999998</v>
      </c>
    </row>
    <row r="26" spans="1:10" x14ac:dyDescent="0.35">
      <c r="A26">
        <v>149</v>
      </c>
      <c r="B26" t="s">
        <v>29</v>
      </c>
      <c r="C26" t="s">
        <v>13</v>
      </c>
      <c r="D26" t="s">
        <v>20</v>
      </c>
      <c r="E26">
        <v>2927</v>
      </c>
      <c r="F26" t="s">
        <v>10</v>
      </c>
      <c r="G26">
        <v>71</v>
      </c>
      <c r="H26">
        <v>876.97</v>
      </c>
      <c r="I26">
        <v>151</v>
      </c>
      <c r="J26">
        <f t="shared" si="0"/>
        <v>132422.47</v>
      </c>
    </row>
    <row r="27" spans="1:10" x14ac:dyDescent="0.35">
      <c r="A27">
        <v>158</v>
      </c>
      <c r="B27" t="s">
        <v>29</v>
      </c>
      <c r="C27" t="s">
        <v>24</v>
      </c>
      <c r="D27" t="s">
        <v>17</v>
      </c>
      <c r="E27">
        <v>11771</v>
      </c>
      <c r="F27" t="s">
        <v>14</v>
      </c>
      <c r="G27">
        <v>116</v>
      </c>
      <c r="H27">
        <v>1029.8699999999999</v>
      </c>
      <c r="I27">
        <v>100</v>
      </c>
      <c r="J27">
        <f t="shared" si="0"/>
        <v>102986.99999999999</v>
      </c>
    </row>
    <row r="28" spans="1:10" x14ac:dyDescent="0.35">
      <c r="A28">
        <v>171</v>
      </c>
      <c r="B28" t="s">
        <v>29</v>
      </c>
      <c r="C28" t="s">
        <v>22</v>
      </c>
      <c r="D28" t="s">
        <v>16</v>
      </c>
      <c r="E28">
        <v>9131</v>
      </c>
      <c r="F28" t="s">
        <v>18</v>
      </c>
      <c r="G28">
        <v>115</v>
      </c>
      <c r="H28">
        <v>507.24</v>
      </c>
      <c r="I28">
        <v>195</v>
      </c>
      <c r="J28">
        <f t="shared" si="0"/>
        <v>98911.8</v>
      </c>
    </row>
    <row r="29" spans="1:10" x14ac:dyDescent="0.35">
      <c r="A29">
        <v>216</v>
      </c>
      <c r="B29" t="s">
        <v>29</v>
      </c>
      <c r="C29" t="s">
        <v>9</v>
      </c>
      <c r="D29" t="s">
        <v>17</v>
      </c>
      <c r="E29">
        <v>11094</v>
      </c>
      <c r="F29" t="s">
        <v>18</v>
      </c>
      <c r="G29">
        <v>85</v>
      </c>
      <c r="H29">
        <v>1234.43</v>
      </c>
      <c r="I29">
        <v>194</v>
      </c>
      <c r="J29">
        <f t="shared" si="0"/>
        <v>239479.42</v>
      </c>
    </row>
    <row r="30" spans="1:10" x14ac:dyDescent="0.35">
      <c r="A30">
        <v>235</v>
      </c>
      <c r="B30" t="s">
        <v>29</v>
      </c>
      <c r="C30" t="s">
        <v>17</v>
      </c>
      <c r="D30" t="s">
        <v>13</v>
      </c>
      <c r="E30">
        <v>5058</v>
      </c>
      <c r="F30" t="s">
        <v>18</v>
      </c>
      <c r="G30">
        <v>65</v>
      </c>
      <c r="H30">
        <v>682.12</v>
      </c>
      <c r="I30">
        <v>104</v>
      </c>
      <c r="J30">
        <f t="shared" si="0"/>
        <v>70940.479999999996</v>
      </c>
    </row>
    <row r="31" spans="1:10" x14ac:dyDescent="0.35">
      <c r="A31">
        <v>238</v>
      </c>
      <c r="B31" t="s">
        <v>29</v>
      </c>
      <c r="C31" t="s">
        <v>8</v>
      </c>
      <c r="D31" t="s">
        <v>23</v>
      </c>
      <c r="E31">
        <v>4433</v>
      </c>
      <c r="F31" t="s">
        <v>10</v>
      </c>
      <c r="G31">
        <v>76</v>
      </c>
      <c r="H31">
        <v>1613.13</v>
      </c>
      <c r="I31">
        <v>39</v>
      </c>
      <c r="J31">
        <f t="shared" si="0"/>
        <v>62912.070000000007</v>
      </c>
    </row>
    <row r="32" spans="1:10" x14ac:dyDescent="0.35">
      <c r="A32">
        <v>241</v>
      </c>
      <c r="B32" t="s">
        <v>29</v>
      </c>
      <c r="C32" t="s">
        <v>12</v>
      </c>
      <c r="D32" t="s">
        <v>22</v>
      </c>
      <c r="E32">
        <v>3516</v>
      </c>
      <c r="F32" t="s">
        <v>10</v>
      </c>
      <c r="G32">
        <v>6</v>
      </c>
      <c r="H32">
        <v>5746.4</v>
      </c>
      <c r="I32">
        <v>36</v>
      </c>
      <c r="J32">
        <f t="shared" si="0"/>
        <v>206870.39999999999</v>
      </c>
    </row>
    <row r="33" spans="1:10" x14ac:dyDescent="0.35">
      <c r="A33">
        <v>248</v>
      </c>
      <c r="B33" t="s">
        <v>29</v>
      </c>
      <c r="C33" t="s">
        <v>22</v>
      </c>
      <c r="D33" t="s">
        <v>20</v>
      </c>
      <c r="E33">
        <v>7396</v>
      </c>
      <c r="F33" t="s">
        <v>14</v>
      </c>
      <c r="G33">
        <v>34</v>
      </c>
      <c r="H33">
        <v>644.19000000000005</v>
      </c>
      <c r="I33">
        <v>117</v>
      </c>
      <c r="J33">
        <f t="shared" si="0"/>
        <v>75370.23000000001</v>
      </c>
    </row>
    <row r="34" spans="1:10" x14ac:dyDescent="0.35">
      <c r="A34">
        <v>3</v>
      </c>
      <c r="B34" t="s">
        <v>15</v>
      </c>
      <c r="C34" t="s">
        <v>16</v>
      </c>
      <c r="D34" t="s">
        <v>17</v>
      </c>
      <c r="E34">
        <v>2698</v>
      </c>
      <c r="F34" t="s">
        <v>18</v>
      </c>
      <c r="G34">
        <v>21</v>
      </c>
      <c r="H34">
        <v>3606.08</v>
      </c>
      <c r="I34">
        <v>134</v>
      </c>
      <c r="J34">
        <f t="shared" si="0"/>
        <v>483214.72</v>
      </c>
    </row>
    <row r="35" spans="1:10" x14ac:dyDescent="0.35">
      <c r="A35">
        <v>22</v>
      </c>
      <c r="B35" t="s">
        <v>15</v>
      </c>
      <c r="C35" t="s">
        <v>20</v>
      </c>
      <c r="D35" t="s">
        <v>23</v>
      </c>
      <c r="E35">
        <v>1430</v>
      </c>
      <c r="F35" t="s">
        <v>14</v>
      </c>
      <c r="G35">
        <v>3</v>
      </c>
      <c r="H35">
        <v>815.27</v>
      </c>
      <c r="I35">
        <v>97</v>
      </c>
      <c r="J35">
        <f t="shared" si="0"/>
        <v>79081.19</v>
      </c>
    </row>
    <row r="36" spans="1:10" x14ac:dyDescent="0.35">
      <c r="A36">
        <v>28</v>
      </c>
      <c r="B36" t="s">
        <v>15</v>
      </c>
      <c r="C36" t="s">
        <v>17</v>
      </c>
      <c r="D36" t="s">
        <v>16</v>
      </c>
      <c r="E36">
        <v>10297</v>
      </c>
      <c r="F36" t="s">
        <v>10</v>
      </c>
      <c r="G36">
        <v>93</v>
      </c>
      <c r="H36">
        <v>3229.28</v>
      </c>
      <c r="I36">
        <v>63</v>
      </c>
      <c r="J36">
        <f t="shared" si="0"/>
        <v>203444.64</v>
      </c>
    </row>
    <row r="37" spans="1:10" x14ac:dyDescent="0.35">
      <c r="A37">
        <v>37</v>
      </c>
      <c r="B37" t="s">
        <v>15</v>
      </c>
      <c r="C37" t="s">
        <v>9</v>
      </c>
      <c r="D37" t="s">
        <v>22</v>
      </c>
      <c r="E37">
        <v>8180</v>
      </c>
      <c r="F37" t="s">
        <v>14</v>
      </c>
      <c r="G37">
        <v>40</v>
      </c>
      <c r="H37">
        <v>552.54</v>
      </c>
      <c r="I37">
        <v>19</v>
      </c>
      <c r="J37">
        <f t="shared" si="0"/>
        <v>10498.259999999998</v>
      </c>
    </row>
    <row r="38" spans="1:10" x14ac:dyDescent="0.35">
      <c r="A38">
        <v>41</v>
      </c>
      <c r="B38" t="s">
        <v>15</v>
      </c>
      <c r="C38" t="s">
        <v>13</v>
      </c>
      <c r="D38" t="s">
        <v>9</v>
      </c>
      <c r="E38">
        <v>8451</v>
      </c>
      <c r="F38" t="s">
        <v>18</v>
      </c>
      <c r="G38">
        <v>4</v>
      </c>
      <c r="H38">
        <v>3088.65</v>
      </c>
      <c r="I38">
        <v>154</v>
      </c>
      <c r="J38">
        <f t="shared" si="0"/>
        <v>475652.10000000003</v>
      </c>
    </row>
    <row r="39" spans="1:10" x14ac:dyDescent="0.35">
      <c r="A39">
        <v>46</v>
      </c>
      <c r="B39" t="s">
        <v>15</v>
      </c>
      <c r="C39" t="s">
        <v>16</v>
      </c>
      <c r="D39" t="s">
        <v>9</v>
      </c>
      <c r="E39">
        <v>2652</v>
      </c>
      <c r="F39" t="s">
        <v>10</v>
      </c>
      <c r="G39">
        <v>39</v>
      </c>
      <c r="H39">
        <v>1142.3699999999999</v>
      </c>
      <c r="I39">
        <v>174</v>
      </c>
      <c r="J39">
        <f t="shared" si="0"/>
        <v>198772.37999999998</v>
      </c>
    </row>
    <row r="40" spans="1:10" x14ac:dyDescent="0.35">
      <c r="A40">
        <v>48</v>
      </c>
      <c r="B40" t="s">
        <v>15</v>
      </c>
      <c r="C40" t="s">
        <v>20</v>
      </c>
      <c r="D40" t="s">
        <v>9</v>
      </c>
      <c r="E40">
        <v>3448</v>
      </c>
      <c r="F40" t="s">
        <v>10</v>
      </c>
      <c r="G40">
        <v>15</v>
      </c>
      <c r="H40">
        <v>844.79</v>
      </c>
      <c r="I40">
        <v>134</v>
      </c>
      <c r="J40">
        <f t="shared" si="0"/>
        <v>113201.86</v>
      </c>
    </row>
    <row r="41" spans="1:10" x14ac:dyDescent="0.35">
      <c r="A41">
        <v>57</v>
      </c>
      <c r="B41" t="s">
        <v>15</v>
      </c>
      <c r="C41" t="s">
        <v>9</v>
      </c>
      <c r="D41" t="s">
        <v>22</v>
      </c>
      <c r="E41">
        <v>1062</v>
      </c>
      <c r="F41" t="s">
        <v>14</v>
      </c>
      <c r="G41">
        <v>26</v>
      </c>
      <c r="H41">
        <v>504.74</v>
      </c>
      <c r="I41">
        <v>89</v>
      </c>
      <c r="J41">
        <f t="shared" si="0"/>
        <v>44921.86</v>
      </c>
    </row>
    <row r="42" spans="1:10" x14ac:dyDescent="0.35">
      <c r="A42">
        <v>60</v>
      </c>
      <c r="B42" t="s">
        <v>15</v>
      </c>
      <c r="C42" t="s">
        <v>13</v>
      </c>
      <c r="D42" t="s">
        <v>9</v>
      </c>
      <c r="E42">
        <v>4868</v>
      </c>
      <c r="F42" t="s">
        <v>18</v>
      </c>
      <c r="G42">
        <v>81</v>
      </c>
      <c r="H42">
        <v>6581.19</v>
      </c>
      <c r="I42">
        <v>135</v>
      </c>
      <c r="J42">
        <f t="shared" si="0"/>
        <v>888460.64999999991</v>
      </c>
    </row>
    <row r="43" spans="1:10" x14ac:dyDescent="0.35">
      <c r="A43">
        <v>65</v>
      </c>
      <c r="B43" t="s">
        <v>15</v>
      </c>
      <c r="C43" t="s">
        <v>17</v>
      </c>
      <c r="D43" t="s">
        <v>9</v>
      </c>
      <c r="E43">
        <v>8616</v>
      </c>
      <c r="F43" t="s">
        <v>14</v>
      </c>
      <c r="G43">
        <v>87</v>
      </c>
      <c r="H43">
        <v>1934.15</v>
      </c>
      <c r="I43">
        <v>82</v>
      </c>
      <c r="J43">
        <f t="shared" si="0"/>
        <v>158600.30000000002</v>
      </c>
    </row>
    <row r="44" spans="1:10" x14ac:dyDescent="0.35">
      <c r="A44">
        <v>71</v>
      </c>
      <c r="B44" t="s">
        <v>15</v>
      </c>
      <c r="C44" t="s">
        <v>23</v>
      </c>
      <c r="D44" t="s">
        <v>17</v>
      </c>
      <c r="E44">
        <v>3485</v>
      </c>
      <c r="F44" t="s">
        <v>10</v>
      </c>
      <c r="G44">
        <v>95</v>
      </c>
      <c r="H44">
        <v>3977.68</v>
      </c>
      <c r="I44">
        <v>17</v>
      </c>
      <c r="J44">
        <f t="shared" si="0"/>
        <v>67620.56</v>
      </c>
    </row>
    <row r="45" spans="1:10" x14ac:dyDescent="0.35">
      <c r="A45">
        <v>81</v>
      </c>
      <c r="B45" t="s">
        <v>15</v>
      </c>
      <c r="C45" t="s">
        <v>13</v>
      </c>
      <c r="D45" t="s">
        <v>16</v>
      </c>
      <c r="E45">
        <v>10236</v>
      </c>
      <c r="F45" t="s">
        <v>10</v>
      </c>
      <c r="G45">
        <v>13</v>
      </c>
      <c r="H45">
        <v>1086.8900000000001</v>
      </c>
      <c r="I45">
        <v>37</v>
      </c>
      <c r="J45">
        <f t="shared" si="0"/>
        <v>40214.93</v>
      </c>
    </row>
    <row r="46" spans="1:10" x14ac:dyDescent="0.35">
      <c r="A46">
        <v>91</v>
      </c>
      <c r="B46" t="s">
        <v>15</v>
      </c>
      <c r="C46" t="s">
        <v>8</v>
      </c>
      <c r="D46" t="s">
        <v>9</v>
      </c>
      <c r="E46">
        <v>5613</v>
      </c>
      <c r="F46" t="s">
        <v>14</v>
      </c>
      <c r="G46">
        <v>30</v>
      </c>
      <c r="H46">
        <v>280.23</v>
      </c>
      <c r="I46">
        <v>158</v>
      </c>
      <c r="J46">
        <f t="shared" si="0"/>
        <v>44276.340000000004</v>
      </c>
    </row>
    <row r="47" spans="1:10" x14ac:dyDescent="0.35">
      <c r="A47">
        <v>92</v>
      </c>
      <c r="B47" t="s">
        <v>15</v>
      </c>
      <c r="C47" t="s">
        <v>23</v>
      </c>
      <c r="D47" t="s">
        <v>13</v>
      </c>
      <c r="E47">
        <v>10446</v>
      </c>
      <c r="F47" t="s">
        <v>14</v>
      </c>
      <c r="G47">
        <v>40</v>
      </c>
      <c r="H47">
        <v>533.61</v>
      </c>
      <c r="I47">
        <v>99</v>
      </c>
      <c r="J47">
        <f t="shared" si="0"/>
        <v>52827.39</v>
      </c>
    </row>
    <row r="48" spans="1:10" x14ac:dyDescent="0.35">
      <c r="A48">
        <v>99</v>
      </c>
      <c r="B48" t="s">
        <v>15</v>
      </c>
      <c r="C48" t="s">
        <v>8</v>
      </c>
      <c r="D48" t="s">
        <v>20</v>
      </c>
      <c r="E48">
        <v>1168</v>
      </c>
      <c r="F48" t="s">
        <v>10</v>
      </c>
      <c r="G48">
        <v>27</v>
      </c>
      <c r="H48">
        <v>2267.1799999999998</v>
      </c>
      <c r="I48">
        <v>199</v>
      </c>
      <c r="J48">
        <f t="shared" si="0"/>
        <v>451168.81999999995</v>
      </c>
    </row>
    <row r="49" spans="1:10" x14ac:dyDescent="0.35">
      <c r="A49">
        <v>102</v>
      </c>
      <c r="B49" t="s">
        <v>15</v>
      </c>
      <c r="C49" t="s">
        <v>8</v>
      </c>
      <c r="D49" t="s">
        <v>24</v>
      </c>
      <c r="E49">
        <v>8838</v>
      </c>
      <c r="F49" t="s">
        <v>10</v>
      </c>
      <c r="G49">
        <v>62</v>
      </c>
      <c r="H49">
        <v>863.15</v>
      </c>
      <c r="I49">
        <v>83</v>
      </c>
      <c r="J49">
        <f t="shared" si="0"/>
        <v>71641.45</v>
      </c>
    </row>
    <row r="50" spans="1:10" x14ac:dyDescent="0.35">
      <c r="A50">
        <v>113</v>
      </c>
      <c r="B50" t="s">
        <v>15</v>
      </c>
      <c r="C50" t="s">
        <v>12</v>
      </c>
      <c r="D50" t="s">
        <v>16</v>
      </c>
      <c r="E50">
        <v>7074</v>
      </c>
      <c r="F50" t="s">
        <v>18</v>
      </c>
      <c r="G50">
        <v>97</v>
      </c>
      <c r="H50">
        <v>522.34</v>
      </c>
      <c r="I50">
        <v>49</v>
      </c>
      <c r="J50">
        <f t="shared" si="0"/>
        <v>25594.66</v>
      </c>
    </row>
    <row r="51" spans="1:10" x14ac:dyDescent="0.35">
      <c r="A51">
        <v>125</v>
      </c>
      <c r="B51" t="s">
        <v>15</v>
      </c>
      <c r="C51" t="s">
        <v>12</v>
      </c>
      <c r="D51" t="s">
        <v>24</v>
      </c>
      <c r="E51">
        <v>4168</v>
      </c>
      <c r="F51" t="s">
        <v>14</v>
      </c>
      <c r="G51">
        <v>7</v>
      </c>
      <c r="H51">
        <v>907.58</v>
      </c>
      <c r="I51">
        <v>34</v>
      </c>
      <c r="J51">
        <f t="shared" si="0"/>
        <v>30857.72</v>
      </c>
    </row>
    <row r="52" spans="1:10" x14ac:dyDescent="0.35">
      <c r="A52">
        <v>127</v>
      </c>
      <c r="B52" t="s">
        <v>15</v>
      </c>
      <c r="C52" t="s">
        <v>22</v>
      </c>
      <c r="D52" t="s">
        <v>17</v>
      </c>
      <c r="E52">
        <v>5010</v>
      </c>
      <c r="F52" t="s">
        <v>18</v>
      </c>
      <c r="G52">
        <v>106</v>
      </c>
      <c r="H52">
        <v>4532.22</v>
      </c>
      <c r="I52">
        <v>57</v>
      </c>
      <c r="J52">
        <f t="shared" si="0"/>
        <v>258336.54</v>
      </c>
    </row>
    <row r="53" spans="1:10" x14ac:dyDescent="0.35">
      <c r="A53">
        <v>137</v>
      </c>
      <c r="B53" t="s">
        <v>15</v>
      </c>
      <c r="C53" t="s">
        <v>24</v>
      </c>
      <c r="D53" t="s">
        <v>17</v>
      </c>
      <c r="E53">
        <v>4918</v>
      </c>
      <c r="F53" t="s">
        <v>10</v>
      </c>
      <c r="G53">
        <v>101</v>
      </c>
      <c r="H53">
        <v>988.75</v>
      </c>
      <c r="I53">
        <v>156</v>
      </c>
      <c r="J53">
        <f t="shared" si="0"/>
        <v>154245</v>
      </c>
    </row>
    <row r="54" spans="1:10" x14ac:dyDescent="0.35">
      <c r="A54">
        <v>159</v>
      </c>
      <c r="B54" t="s">
        <v>15</v>
      </c>
      <c r="C54" t="s">
        <v>20</v>
      </c>
      <c r="D54" t="s">
        <v>17</v>
      </c>
      <c r="E54">
        <v>4772</v>
      </c>
      <c r="F54" t="s">
        <v>10</v>
      </c>
      <c r="G54">
        <v>82</v>
      </c>
      <c r="H54">
        <v>717.41</v>
      </c>
      <c r="I54">
        <v>148</v>
      </c>
      <c r="J54">
        <f t="shared" si="0"/>
        <v>106176.68</v>
      </c>
    </row>
    <row r="55" spans="1:10" x14ac:dyDescent="0.35">
      <c r="A55">
        <v>160</v>
      </c>
      <c r="B55" t="s">
        <v>15</v>
      </c>
      <c r="C55" t="s">
        <v>20</v>
      </c>
      <c r="D55" t="s">
        <v>17</v>
      </c>
      <c r="E55">
        <v>5319</v>
      </c>
      <c r="F55" t="s">
        <v>10</v>
      </c>
      <c r="G55">
        <v>15</v>
      </c>
      <c r="H55">
        <v>2704.53</v>
      </c>
      <c r="I55">
        <v>82</v>
      </c>
      <c r="J55">
        <f t="shared" si="0"/>
        <v>221771.46000000002</v>
      </c>
    </row>
    <row r="56" spans="1:10" x14ac:dyDescent="0.35">
      <c r="A56">
        <v>162</v>
      </c>
      <c r="B56" t="s">
        <v>15</v>
      </c>
      <c r="C56" t="s">
        <v>17</v>
      </c>
      <c r="D56" t="s">
        <v>23</v>
      </c>
      <c r="E56">
        <v>9279</v>
      </c>
      <c r="F56" t="s">
        <v>18</v>
      </c>
      <c r="G56">
        <v>98</v>
      </c>
      <c r="H56">
        <v>711.26</v>
      </c>
      <c r="I56">
        <v>195</v>
      </c>
      <c r="J56">
        <f t="shared" si="0"/>
        <v>138695.70000000001</v>
      </c>
    </row>
    <row r="57" spans="1:10" x14ac:dyDescent="0.35">
      <c r="A57">
        <v>167</v>
      </c>
      <c r="B57" t="s">
        <v>15</v>
      </c>
      <c r="C57" t="s">
        <v>23</v>
      </c>
      <c r="D57" t="s">
        <v>24</v>
      </c>
      <c r="E57">
        <v>5059</v>
      </c>
      <c r="F57" t="s">
        <v>14</v>
      </c>
      <c r="G57">
        <v>3</v>
      </c>
      <c r="H57">
        <v>1407.07</v>
      </c>
      <c r="I57">
        <v>57</v>
      </c>
      <c r="J57">
        <f t="shared" si="0"/>
        <v>80202.989999999991</v>
      </c>
    </row>
    <row r="58" spans="1:10" x14ac:dyDescent="0.35">
      <c r="A58">
        <v>170</v>
      </c>
      <c r="B58" t="s">
        <v>15</v>
      </c>
      <c r="C58" t="s">
        <v>20</v>
      </c>
      <c r="D58" t="s">
        <v>13</v>
      </c>
      <c r="E58">
        <v>9263</v>
      </c>
      <c r="F58" t="s">
        <v>18</v>
      </c>
      <c r="G58">
        <v>20</v>
      </c>
      <c r="H58">
        <v>556.44000000000005</v>
      </c>
      <c r="I58">
        <v>9</v>
      </c>
      <c r="J58">
        <f t="shared" si="0"/>
        <v>5007.9600000000009</v>
      </c>
    </row>
    <row r="59" spans="1:10" x14ac:dyDescent="0.35">
      <c r="A59">
        <v>184</v>
      </c>
      <c r="B59" t="s">
        <v>15</v>
      </c>
      <c r="C59" t="s">
        <v>23</v>
      </c>
      <c r="D59" t="s">
        <v>20</v>
      </c>
      <c r="E59">
        <v>903</v>
      </c>
      <c r="F59" t="s">
        <v>18</v>
      </c>
      <c r="G59">
        <v>52</v>
      </c>
      <c r="H59">
        <v>3786.09</v>
      </c>
      <c r="I59">
        <v>147</v>
      </c>
      <c r="J59">
        <f t="shared" si="0"/>
        <v>556555.23</v>
      </c>
    </row>
    <row r="60" spans="1:10" x14ac:dyDescent="0.35">
      <c r="A60">
        <v>190</v>
      </c>
      <c r="B60" t="s">
        <v>15</v>
      </c>
      <c r="C60" t="s">
        <v>22</v>
      </c>
      <c r="D60" t="s">
        <v>13</v>
      </c>
      <c r="E60">
        <v>10590</v>
      </c>
      <c r="F60" t="s">
        <v>18</v>
      </c>
      <c r="G60">
        <v>30</v>
      </c>
      <c r="H60">
        <v>134.76</v>
      </c>
      <c r="I60">
        <v>163</v>
      </c>
      <c r="J60">
        <f t="shared" si="0"/>
        <v>21965.879999999997</v>
      </c>
    </row>
    <row r="61" spans="1:10" x14ac:dyDescent="0.35">
      <c r="A61">
        <v>193</v>
      </c>
      <c r="B61" t="s">
        <v>15</v>
      </c>
      <c r="C61" t="s">
        <v>9</v>
      </c>
      <c r="D61" t="s">
        <v>12</v>
      </c>
      <c r="E61">
        <v>7993</v>
      </c>
      <c r="F61" t="s">
        <v>10</v>
      </c>
      <c r="G61">
        <v>55</v>
      </c>
      <c r="H61">
        <v>1952.84</v>
      </c>
      <c r="I61">
        <v>61</v>
      </c>
      <c r="J61">
        <f t="shared" si="0"/>
        <v>119123.23999999999</v>
      </c>
    </row>
    <row r="62" spans="1:10" x14ac:dyDescent="0.35">
      <c r="A62">
        <v>203</v>
      </c>
      <c r="B62" t="s">
        <v>15</v>
      </c>
      <c r="C62" t="s">
        <v>20</v>
      </c>
      <c r="D62" t="s">
        <v>12</v>
      </c>
      <c r="E62">
        <v>637</v>
      </c>
      <c r="F62" t="s">
        <v>14</v>
      </c>
      <c r="G62">
        <v>115</v>
      </c>
      <c r="H62">
        <v>8559.08</v>
      </c>
      <c r="I62">
        <v>159</v>
      </c>
      <c r="J62">
        <f t="shared" si="0"/>
        <v>1360893.72</v>
      </c>
    </row>
    <row r="63" spans="1:10" x14ac:dyDescent="0.35">
      <c r="A63">
        <v>204</v>
      </c>
      <c r="B63" t="s">
        <v>15</v>
      </c>
      <c r="C63" t="s">
        <v>17</v>
      </c>
      <c r="D63" t="s">
        <v>23</v>
      </c>
      <c r="E63">
        <v>2639</v>
      </c>
      <c r="F63" t="s">
        <v>18</v>
      </c>
      <c r="G63">
        <v>54</v>
      </c>
      <c r="H63">
        <v>2912.55</v>
      </c>
      <c r="I63">
        <v>149</v>
      </c>
      <c r="J63">
        <f t="shared" si="0"/>
        <v>433969.95</v>
      </c>
    </row>
    <row r="64" spans="1:10" x14ac:dyDescent="0.35">
      <c r="A64">
        <v>208</v>
      </c>
      <c r="B64" t="s">
        <v>15</v>
      </c>
      <c r="C64" t="s">
        <v>24</v>
      </c>
      <c r="D64" t="s">
        <v>22</v>
      </c>
      <c r="E64">
        <v>10371</v>
      </c>
      <c r="F64" t="s">
        <v>10</v>
      </c>
      <c r="G64">
        <v>101</v>
      </c>
      <c r="H64">
        <v>532.94000000000005</v>
      </c>
      <c r="I64">
        <v>194</v>
      </c>
      <c r="J64">
        <f t="shared" si="0"/>
        <v>103390.36000000002</v>
      </c>
    </row>
    <row r="65" spans="1:10" x14ac:dyDescent="0.35">
      <c r="A65">
        <v>209</v>
      </c>
      <c r="B65" t="s">
        <v>15</v>
      </c>
      <c r="C65" t="s">
        <v>20</v>
      </c>
      <c r="D65" t="s">
        <v>24</v>
      </c>
      <c r="E65">
        <v>966</v>
      </c>
      <c r="F65" t="s">
        <v>10</v>
      </c>
      <c r="G65">
        <v>4</v>
      </c>
      <c r="H65">
        <v>4045.74</v>
      </c>
      <c r="I65">
        <v>43</v>
      </c>
      <c r="J65">
        <f t="shared" si="0"/>
        <v>173966.81999999998</v>
      </c>
    </row>
    <row r="66" spans="1:10" x14ac:dyDescent="0.35">
      <c r="A66">
        <v>213</v>
      </c>
      <c r="B66" t="s">
        <v>15</v>
      </c>
      <c r="C66" t="s">
        <v>22</v>
      </c>
      <c r="D66" t="s">
        <v>12</v>
      </c>
      <c r="E66">
        <v>6355</v>
      </c>
      <c r="F66" t="s">
        <v>14</v>
      </c>
      <c r="G66">
        <v>90</v>
      </c>
      <c r="H66">
        <v>2085.04</v>
      </c>
      <c r="I66">
        <v>77</v>
      </c>
      <c r="J66">
        <f t="shared" si="0"/>
        <v>160548.07999999999</v>
      </c>
    </row>
    <row r="67" spans="1:10" x14ac:dyDescent="0.35">
      <c r="A67">
        <v>226</v>
      </c>
      <c r="B67" t="s">
        <v>15</v>
      </c>
      <c r="C67" t="s">
        <v>9</v>
      </c>
      <c r="D67" t="s">
        <v>16</v>
      </c>
      <c r="E67">
        <v>2224</v>
      </c>
      <c r="F67" t="s">
        <v>18</v>
      </c>
      <c r="G67">
        <v>84</v>
      </c>
      <c r="H67">
        <v>106.07</v>
      </c>
      <c r="I67">
        <v>28</v>
      </c>
      <c r="J67">
        <f t="shared" ref="J67:J130" si="1">H67*I67</f>
        <v>2969.96</v>
      </c>
    </row>
    <row r="68" spans="1:10" x14ac:dyDescent="0.35">
      <c r="A68">
        <v>234</v>
      </c>
      <c r="B68" t="s">
        <v>15</v>
      </c>
      <c r="C68" t="s">
        <v>20</v>
      </c>
      <c r="D68" t="s">
        <v>24</v>
      </c>
      <c r="E68">
        <v>7886</v>
      </c>
      <c r="F68" t="s">
        <v>10</v>
      </c>
      <c r="G68">
        <v>25</v>
      </c>
      <c r="H68">
        <v>2555.85</v>
      </c>
      <c r="I68">
        <v>139</v>
      </c>
      <c r="J68">
        <f t="shared" si="1"/>
        <v>355263.14999999997</v>
      </c>
    </row>
    <row r="69" spans="1:10" x14ac:dyDescent="0.35">
      <c r="A69">
        <v>242</v>
      </c>
      <c r="B69" t="s">
        <v>15</v>
      </c>
      <c r="C69" t="s">
        <v>13</v>
      </c>
      <c r="D69" t="s">
        <v>9</v>
      </c>
      <c r="E69">
        <v>2551</v>
      </c>
      <c r="F69" t="s">
        <v>18</v>
      </c>
      <c r="G69">
        <v>34</v>
      </c>
      <c r="H69">
        <v>1677.98</v>
      </c>
      <c r="I69">
        <v>103</v>
      </c>
      <c r="J69">
        <f t="shared" si="1"/>
        <v>172831.94</v>
      </c>
    </row>
    <row r="70" spans="1:10" x14ac:dyDescent="0.35">
      <c r="A70">
        <v>4</v>
      </c>
      <c r="B70" t="s">
        <v>19</v>
      </c>
      <c r="C70" t="s">
        <v>20</v>
      </c>
      <c r="D70" t="s">
        <v>12</v>
      </c>
      <c r="E70">
        <v>7956</v>
      </c>
      <c r="F70" t="s">
        <v>18</v>
      </c>
      <c r="G70">
        <v>24</v>
      </c>
      <c r="H70">
        <v>814.07</v>
      </c>
      <c r="I70">
        <v>112</v>
      </c>
      <c r="J70">
        <f t="shared" si="1"/>
        <v>91175.840000000011</v>
      </c>
    </row>
    <row r="71" spans="1:10" x14ac:dyDescent="0.35">
      <c r="A71">
        <v>7</v>
      </c>
      <c r="B71" t="s">
        <v>19</v>
      </c>
      <c r="C71" t="s">
        <v>22</v>
      </c>
      <c r="D71" t="s">
        <v>16</v>
      </c>
      <c r="E71">
        <v>3506</v>
      </c>
      <c r="F71" t="s">
        <v>10</v>
      </c>
      <c r="G71">
        <v>85</v>
      </c>
      <c r="H71">
        <v>2073.14</v>
      </c>
      <c r="I71">
        <v>101</v>
      </c>
      <c r="J71">
        <f t="shared" si="1"/>
        <v>209387.13999999998</v>
      </c>
    </row>
    <row r="72" spans="1:10" x14ac:dyDescent="0.35">
      <c r="A72">
        <v>24</v>
      </c>
      <c r="B72" t="s">
        <v>19</v>
      </c>
      <c r="C72" t="s">
        <v>12</v>
      </c>
      <c r="D72" t="s">
        <v>13</v>
      </c>
      <c r="E72">
        <v>440</v>
      </c>
      <c r="F72" t="s">
        <v>10</v>
      </c>
      <c r="G72">
        <v>86</v>
      </c>
      <c r="H72">
        <v>498.29</v>
      </c>
      <c r="I72">
        <v>145</v>
      </c>
      <c r="J72">
        <f t="shared" si="1"/>
        <v>72252.05</v>
      </c>
    </row>
    <row r="73" spans="1:10" x14ac:dyDescent="0.35">
      <c r="A73">
        <v>38</v>
      </c>
      <c r="B73" t="s">
        <v>19</v>
      </c>
      <c r="C73" t="s">
        <v>23</v>
      </c>
      <c r="D73" t="s">
        <v>12</v>
      </c>
      <c r="E73">
        <v>9282</v>
      </c>
      <c r="F73" t="s">
        <v>10</v>
      </c>
      <c r="G73">
        <v>111</v>
      </c>
      <c r="H73">
        <v>597.5</v>
      </c>
      <c r="I73">
        <v>154</v>
      </c>
      <c r="J73">
        <f t="shared" si="1"/>
        <v>92015</v>
      </c>
    </row>
    <row r="74" spans="1:10" x14ac:dyDescent="0.35">
      <c r="A74">
        <v>39</v>
      </c>
      <c r="B74" t="s">
        <v>19</v>
      </c>
      <c r="C74" t="s">
        <v>9</v>
      </c>
      <c r="D74" t="s">
        <v>12</v>
      </c>
      <c r="E74">
        <v>3605</v>
      </c>
      <c r="F74" t="s">
        <v>10</v>
      </c>
      <c r="G74">
        <v>19</v>
      </c>
      <c r="H74">
        <v>1444.13</v>
      </c>
      <c r="I74">
        <v>52</v>
      </c>
      <c r="J74">
        <f t="shared" si="1"/>
        <v>75094.760000000009</v>
      </c>
    </row>
    <row r="75" spans="1:10" x14ac:dyDescent="0.35">
      <c r="A75">
        <v>44</v>
      </c>
      <c r="B75" t="s">
        <v>19</v>
      </c>
      <c r="C75" t="s">
        <v>23</v>
      </c>
      <c r="D75" t="s">
        <v>13</v>
      </c>
      <c r="E75">
        <v>5881</v>
      </c>
      <c r="F75" t="s">
        <v>10</v>
      </c>
      <c r="G75">
        <v>33</v>
      </c>
      <c r="H75">
        <v>905.78</v>
      </c>
      <c r="I75">
        <v>72</v>
      </c>
      <c r="J75">
        <f t="shared" si="1"/>
        <v>65216.159999999996</v>
      </c>
    </row>
    <row r="76" spans="1:10" x14ac:dyDescent="0.35">
      <c r="A76">
        <v>50</v>
      </c>
      <c r="B76" t="s">
        <v>19</v>
      </c>
      <c r="C76" t="s">
        <v>17</v>
      </c>
      <c r="D76" t="s">
        <v>23</v>
      </c>
      <c r="E76">
        <v>3696</v>
      </c>
      <c r="F76" t="s">
        <v>10</v>
      </c>
      <c r="G76">
        <v>6</v>
      </c>
      <c r="H76">
        <v>631.08000000000004</v>
      </c>
      <c r="I76">
        <v>114</v>
      </c>
      <c r="J76">
        <f t="shared" si="1"/>
        <v>71943.12000000001</v>
      </c>
    </row>
    <row r="77" spans="1:10" x14ac:dyDescent="0.35">
      <c r="A77">
        <v>51</v>
      </c>
      <c r="B77" t="s">
        <v>19</v>
      </c>
      <c r="C77" t="s">
        <v>24</v>
      </c>
      <c r="D77" t="s">
        <v>12</v>
      </c>
      <c r="E77">
        <v>10191</v>
      </c>
      <c r="F77" t="s">
        <v>14</v>
      </c>
      <c r="G77">
        <v>20</v>
      </c>
      <c r="H77">
        <v>380.98</v>
      </c>
      <c r="I77">
        <v>99</v>
      </c>
      <c r="J77">
        <f t="shared" si="1"/>
        <v>37717.020000000004</v>
      </c>
    </row>
    <row r="78" spans="1:10" x14ac:dyDescent="0.35">
      <c r="A78">
        <v>98</v>
      </c>
      <c r="B78" t="s">
        <v>19</v>
      </c>
      <c r="C78" t="s">
        <v>23</v>
      </c>
      <c r="D78" t="s">
        <v>8</v>
      </c>
      <c r="E78">
        <v>8561</v>
      </c>
      <c r="F78" t="s">
        <v>10</v>
      </c>
      <c r="G78">
        <v>98</v>
      </c>
      <c r="H78">
        <v>775.55</v>
      </c>
      <c r="I78">
        <v>147</v>
      </c>
      <c r="J78">
        <f t="shared" si="1"/>
        <v>114005.84999999999</v>
      </c>
    </row>
    <row r="79" spans="1:10" x14ac:dyDescent="0.35">
      <c r="A79">
        <v>106</v>
      </c>
      <c r="B79" t="s">
        <v>19</v>
      </c>
      <c r="C79" t="s">
        <v>16</v>
      </c>
      <c r="D79" t="s">
        <v>24</v>
      </c>
      <c r="E79">
        <v>7266</v>
      </c>
      <c r="F79" t="s">
        <v>10</v>
      </c>
      <c r="G79">
        <v>62</v>
      </c>
      <c r="H79">
        <v>4160.18</v>
      </c>
      <c r="I79">
        <v>146</v>
      </c>
      <c r="J79">
        <f t="shared" si="1"/>
        <v>607386.28</v>
      </c>
    </row>
    <row r="80" spans="1:10" x14ac:dyDescent="0.35">
      <c r="A80">
        <v>116</v>
      </c>
      <c r="B80" t="s">
        <v>19</v>
      </c>
      <c r="C80" t="s">
        <v>20</v>
      </c>
      <c r="D80" t="s">
        <v>16</v>
      </c>
      <c r="E80">
        <v>10021</v>
      </c>
      <c r="F80" t="s">
        <v>18</v>
      </c>
      <c r="G80">
        <v>41</v>
      </c>
      <c r="H80">
        <v>287.58</v>
      </c>
      <c r="I80">
        <v>55</v>
      </c>
      <c r="J80">
        <f t="shared" si="1"/>
        <v>15816.9</v>
      </c>
    </row>
    <row r="81" spans="1:10" x14ac:dyDescent="0.35">
      <c r="A81">
        <v>117</v>
      </c>
      <c r="B81" t="s">
        <v>19</v>
      </c>
      <c r="C81" t="s">
        <v>16</v>
      </c>
      <c r="D81" t="s">
        <v>23</v>
      </c>
      <c r="E81">
        <v>8817</v>
      </c>
      <c r="F81" t="s">
        <v>10</v>
      </c>
      <c r="G81">
        <v>8</v>
      </c>
      <c r="H81">
        <v>4032.71</v>
      </c>
      <c r="I81">
        <v>41</v>
      </c>
      <c r="J81">
        <f t="shared" si="1"/>
        <v>165341.11000000002</v>
      </c>
    </row>
    <row r="82" spans="1:10" x14ac:dyDescent="0.35">
      <c r="A82">
        <v>130</v>
      </c>
      <c r="B82" t="s">
        <v>19</v>
      </c>
      <c r="C82" t="s">
        <v>20</v>
      </c>
      <c r="D82" t="s">
        <v>12</v>
      </c>
      <c r="E82">
        <v>6494</v>
      </c>
      <c r="F82" t="s">
        <v>10</v>
      </c>
      <c r="G82">
        <v>5</v>
      </c>
      <c r="H82">
        <v>2284.29</v>
      </c>
      <c r="I82">
        <v>132</v>
      </c>
      <c r="J82">
        <f t="shared" si="1"/>
        <v>301526.27999999997</v>
      </c>
    </row>
    <row r="83" spans="1:10" x14ac:dyDescent="0.35">
      <c r="A83">
        <v>136</v>
      </c>
      <c r="B83" t="s">
        <v>19</v>
      </c>
      <c r="C83" t="s">
        <v>9</v>
      </c>
      <c r="D83" t="s">
        <v>22</v>
      </c>
      <c r="E83">
        <v>10255</v>
      </c>
      <c r="F83" t="s">
        <v>14</v>
      </c>
      <c r="G83">
        <v>94</v>
      </c>
      <c r="H83">
        <v>650.83000000000004</v>
      </c>
      <c r="I83">
        <v>126</v>
      </c>
      <c r="J83">
        <f t="shared" si="1"/>
        <v>82004.58</v>
      </c>
    </row>
    <row r="84" spans="1:10" x14ac:dyDescent="0.35">
      <c r="A84">
        <v>142</v>
      </c>
      <c r="B84" t="s">
        <v>19</v>
      </c>
      <c r="C84" t="s">
        <v>23</v>
      </c>
      <c r="D84" t="s">
        <v>9</v>
      </c>
      <c r="E84">
        <v>8104</v>
      </c>
      <c r="F84" t="s">
        <v>10</v>
      </c>
      <c r="G84">
        <v>78</v>
      </c>
      <c r="H84">
        <v>2499.06</v>
      </c>
      <c r="I84">
        <v>30</v>
      </c>
      <c r="J84">
        <f t="shared" si="1"/>
        <v>74971.8</v>
      </c>
    </row>
    <row r="85" spans="1:10" x14ac:dyDescent="0.35">
      <c r="A85">
        <v>143</v>
      </c>
      <c r="B85" t="s">
        <v>19</v>
      </c>
      <c r="C85" t="s">
        <v>20</v>
      </c>
      <c r="D85" t="s">
        <v>24</v>
      </c>
      <c r="E85">
        <v>8474</v>
      </c>
      <c r="F85" t="s">
        <v>14</v>
      </c>
      <c r="G85">
        <v>108</v>
      </c>
      <c r="H85">
        <v>942.15</v>
      </c>
      <c r="I85">
        <v>80</v>
      </c>
      <c r="J85">
        <f t="shared" si="1"/>
        <v>75372</v>
      </c>
    </row>
    <row r="86" spans="1:10" x14ac:dyDescent="0.35">
      <c r="A86">
        <v>155</v>
      </c>
      <c r="B86" t="s">
        <v>19</v>
      </c>
      <c r="C86" t="s">
        <v>9</v>
      </c>
      <c r="D86" t="s">
        <v>13</v>
      </c>
      <c r="E86">
        <v>2186</v>
      </c>
      <c r="F86" t="s">
        <v>18</v>
      </c>
      <c r="G86">
        <v>67</v>
      </c>
      <c r="H86">
        <v>2497.11</v>
      </c>
      <c r="I86">
        <v>128</v>
      </c>
      <c r="J86">
        <f t="shared" si="1"/>
        <v>319630.08000000002</v>
      </c>
    </row>
    <row r="87" spans="1:10" x14ac:dyDescent="0.35">
      <c r="A87">
        <v>156</v>
      </c>
      <c r="B87" t="s">
        <v>19</v>
      </c>
      <c r="C87" t="s">
        <v>20</v>
      </c>
      <c r="D87" t="s">
        <v>23</v>
      </c>
      <c r="E87">
        <v>3806</v>
      </c>
      <c r="F87" t="s">
        <v>18</v>
      </c>
      <c r="G87">
        <v>11</v>
      </c>
      <c r="H87">
        <v>594.91999999999996</v>
      </c>
      <c r="I87">
        <v>62</v>
      </c>
      <c r="J87">
        <f t="shared" si="1"/>
        <v>36885.040000000001</v>
      </c>
    </row>
    <row r="88" spans="1:10" x14ac:dyDescent="0.35">
      <c r="A88">
        <v>161</v>
      </c>
      <c r="B88" t="s">
        <v>19</v>
      </c>
      <c r="C88" t="s">
        <v>9</v>
      </c>
      <c r="D88" t="s">
        <v>20</v>
      </c>
      <c r="E88">
        <v>9472</v>
      </c>
      <c r="F88" t="s">
        <v>18</v>
      </c>
      <c r="G88">
        <v>118</v>
      </c>
      <c r="H88">
        <v>440.82</v>
      </c>
      <c r="I88">
        <v>131</v>
      </c>
      <c r="J88">
        <f t="shared" si="1"/>
        <v>57747.42</v>
      </c>
    </row>
    <row r="89" spans="1:10" x14ac:dyDescent="0.35">
      <c r="A89">
        <v>166</v>
      </c>
      <c r="B89" t="s">
        <v>19</v>
      </c>
      <c r="C89" t="s">
        <v>20</v>
      </c>
      <c r="D89" t="s">
        <v>22</v>
      </c>
      <c r="E89">
        <v>8152</v>
      </c>
      <c r="F89" t="s">
        <v>18</v>
      </c>
      <c r="G89">
        <v>70</v>
      </c>
      <c r="H89">
        <v>2445.98</v>
      </c>
      <c r="I89">
        <v>168</v>
      </c>
      <c r="J89">
        <f t="shared" si="1"/>
        <v>410924.64</v>
      </c>
    </row>
    <row r="90" spans="1:10" x14ac:dyDescent="0.35">
      <c r="A90">
        <v>174</v>
      </c>
      <c r="B90" t="s">
        <v>19</v>
      </c>
      <c r="C90" t="s">
        <v>22</v>
      </c>
      <c r="D90" t="s">
        <v>12</v>
      </c>
      <c r="E90">
        <v>7767</v>
      </c>
      <c r="F90" t="s">
        <v>18</v>
      </c>
      <c r="G90">
        <v>73</v>
      </c>
      <c r="H90">
        <v>1512.77</v>
      </c>
      <c r="I90">
        <v>23</v>
      </c>
      <c r="J90">
        <f t="shared" si="1"/>
        <v>34793.71</v>
      </c>
    </row>
    <row r="91" spans="1:10" x14ac:dyDescent="0.35">
      <c r="A91">
        <v>182</v>
      </c>
      <c r="B91" t="s">
        <v>19</v>
      </c>
      <c r="C91" t="s">
        <v>17</v>
      </c>
      <c r="D91" t="s">
        <v>12</v>
      </c>
      <c r="E91">
        <v>8765</v>
      </c>
      <c r="F91" t="s">
        <v>10</v>
      </c>
      <c r="G91">
        <v>39</v>
      </c>
      <c r="H91">
        <v>3014.65</v>
      </c>
      <c r="I91">
        <v>113</v>
      </c>
      <c r="J91">
        <f t="shared" si="1"/>
        <v>340655.45</v>
      </c>
    </row>
    <row r="92" spans="1:10" x14ac:dyDescent="0.35">
      <c r="A92">
        <v>185</v>
      </c>
      <c r="B92" t="s">
        <v>19</v>
      </c>
      <c r="C92" t="s">
        <v>9</v>
      </c>
      <c r="D92" t="s">
        <v>17</v>
      </c>
      <c r="E92">
        <v>11720</v>
      </c>
      <c r="F92" t="s">
        <v>14</v>
      </c>
      <c r="G92">
        <v>45</v>
      </c>
      <c r="H92">
        <v>2297.9699999999998</v>
      </c>
      <c r="I92">
        <v>164</v>
      </c>
      <c r="J92">
        <f t="shared" si="1"/>
        <v>376867.07999999996</v>
      </c>
    </row>
    <row r="93" spans="1:10" x14ac:dyDescent="0.35">
      <c r="A93">
        <v>197</v>
      </c>
      <c r="B93" t="s">
        <v>19</v>
      </c>
      <c r="C93" t="s">
        <v>12</v>
      </c>
      <c r="D93" t="s">
        <v>17</v>
      </c>
      <c r="E93">
        <v>3578</v>
      </c>
      <c r="F93" t="s">
        <v>18</v>
      </c>
      <c r="G93">
        <v>104</v>
      </c>
      <c r="H93">
        <v>3975.44</v>
      </c>
      <c r="I93">
        <v>85</v>
      </c>
      <c r="J93">
        <f t="shared" si="1"/>
        <v>337912.4</v>
      </c>
    </row>
    <row r="94" spans="1:10" x14ac:dyDescent="0.35">
      <c r="A94">
        <v>205</v>
      </c>
      <c r="B94" t="s">
        <v>19</v>
      </c>
      <c r="C94" t="s">
        <v>8</v>
      </c>
      <c r="D94" t="s">
        <v>9</v>
      </c>
      <c r="E94">
        <v>623</v>
      </c>
      <c r="F94" t="s">
        <v>14</v>
      </c>
      <c r="G94">
        <v>58</v>
      </c>
      <c r="H94">
        <v>354.7</v>
      </c>
      <c r="I94">
        <v>22</v>
      </c>
      <c r="J94">
        <f t="shared" si="1"/>
        <v>7803.4</v>
      </c>
    </row>
    <row r="95" spans="1:10" x14ac:dyDescent="0.35">
      <c r="A95">
        <v>207</v>
      </c>
      <c r="B95" t="s">
        <v>19</v>
      </c>
      <c r="C95" t="s">
        <v>12</v>
      </c>
      <c r="D95" t="s">
        <v>23</v>
      </c>
      <c r="E95">
        <v>444</v>
      </c>
      <c r="F95" t="s">
        <v>14</v>
      </c>
      <c r="G95">
        <v>93</v>
      </c>
      <c r="H95">
        <v>245.53</v>
      </c>
      <c r="I95">
        <v>24</v>
      </c>
      <c r="J95">
        <f t="shared" si="1"/>
        <v>5892.72</v>
      </c>
    </row>
    <row r="96" spans="1:10" x14ac:dyDescent="0.35">
      <c r="A96">
        <v>215</v>
      </c>
      <c r="B96" t="s">
        <v>19</v>
      </c>
      <c r="C96" t="s">
        <v>12</v>
      </c>
      <c r="D96" t="s">
        <v>8</v>
      </c>
      <c r="E96">
        <v>2605</v>
      </c>
      <c r="F96" t="s">
        <v>18</v>
      </c>
      <c r="G96">
        <v>37</v>
      </c>
      <c r="H96">
        <v>2325.11</v>
      </c>
      <c r="I96">
        <v>84</v>
      </c>
      <c r="J96">
        <f t="shared" si="1"/>
        <v>195309.24000000002</v>
      </c>
    </row>
    <row r="97" spans="1:10" x14ac:dyDescent="0.35">
      <c r="A97">
        <v>219</v>
      </c>
      <c r="B97" t="s">
        <v>19</v>
      </c>
      <c r="C97" t="s">
        <v>12</v>
      </c>
      <c r="D97" t="s">
        <v>8</v>
      </c>
      <c r="E97">
        <v>11228</v>
      </c>
      <c r="F97" t="s">
        <v>18</v>
      </c>
      <c r="G97">
        <v>37</v>
      </c>
      <c r="H97">
        <v>382.22</v>
      </c>
      <c r="I97">
        <v>163</v>
      </c>
      <c r="J97">
        <f t="shared" si="1"/>
        <v>62301.860000000008</v>
      </c>
    </row>
    <row r="98" spans="1:10" x14ac:dyDescent="0.35">
      <c r="A98">
        <v>222</v>
      </c>
      <c r="B98" t="s">
        <v>19</v>
      </c>
      <c r="C98" t="s">
        <v>24</v>
      </c>
      <c r="D98" t="s">
        <v>23</v>
      </c>
      <c r="E98">
        <v>8903</v>
      </c>
      <c r="F98" t="s">
        <v>10</v>
      </c>
      <c r="G98">
        <v>106</v>
      </c>
      <c r="H98">
        <v>1030.0999999999999</v>
      </c>
      <c r="I98">
        <v>125</v>
      </c>
      <c r="J98">
        <f t="shared" si="1"/>
        <v>128762.49999999999</v>
      </c>
    </row>
    <row r="99" spans="1:10" x14ac:dyDescent="0.35">
      <c r="A99">
        <v>223</v>
      </c>
      <c r="B99" t="s">
        <v>19</v>
      </c>
      <c r="C99" t="s">
        <v>9</v>
      </c>
      <c r="D99" t="s">
        <v>16</v>
      </c>
      <c r="E99">
        <v>10595</v>
      </c>
      <c r="F99" t="s">
        <v>10</v>
      </c>
      <c r="G99">
        <v>101</v>
      </c>
      <c r="H99">
        <v>1001</v>
      </c>
      <c r="I99">
        <v>133</v>
      </c>
      <c r="J99">
        <f t="shared" si="1"/>
        <v>133133</v>
      </c>
    </row>
    <row r="100" spans="1:10" x14ac:dyDescent="0.35">
      <c r="A100">
        <v>233</v>
      </c>
      <c r="B100" t="s">
        <v>19</v>
      </c>
      <c r="C100" t="s">
        <v>9</v>
      </c>
      <c r="D100" t="s">
        <v>22</v>
      </c>
      <c r="E100">
        <v>4278</v>
      </c>
      <c r="F100" t="s">
        <v>14</v>
      </c>
      <c r="G100">
        <v>43</v>
      </c>
      <c r="H100">
        <v>355.78</v>
      </c>
      <c r="I100">
        <v>5</v>
      </c>
      <c r="J100">
        <f t="shared" si="1"/>
        <v>1778.8999999999999</v>
      </c>
    </row>
    <row r="101" spans="1:10" x14ac:dyDescent="0.35">
      <c r="A101">
        <v>250</v>
      </c>
      <c r="B101" t="s">
        <v>19</v>
      </c>
      <c r="C101" t="s">
        <v>9</v>
      </c>
      <c r="D101" t="s">
        <v>23</v>
      </c>
      <c r="E101">
        <v>11507</v>
      </c>
      <c r="F101" t="s">
        <v>10</v>
      </c>
      <c r="G101">
        <v>72</v>
      </c>
      <c r="H101">
        <v>1479.53</v>
      </c>
      <c r="I101">
        <v>24</v>
      </c>
      <c r="J101">
        <f t="shared" si="1"/>
        <v>35508.720000000001</v>
      </c>
    </row>
    <row r="102" spans="1:10" x14ac:dyDescent="0.35">
      <c r="A102">
        <v>2</v>
      </c>
      <c r="B102" t="s">
        <v>11</v>
      </c>
      <c r="C102" t="s">
        <v>12</v>
      </c>
      <c r="D102" t="s">
        <v>13</v>
      </c>
      <c r="E102">
        <v>8266</v>
      </c>
      <c r="F102" t="s">
        <v>14</v>
      </c>
      <c r="G102">
        <v>98</v>
      </c>
      <c r="H102">
        <v>2227.96</v>
      </c>
      <c r="I102">
        <v>144</v>
      </c>
      <c r="J102">
        <f t="shared" si="1"/>
        <v>320826.23999999999</v>
      </c>
    </row>
    <row r="103" spans="1:10" x14ac:dyDescent="0.35">
      <c r="A103">
        <v>25</v>
      </c>
      <c r="B103" t="s">
        <v>11</v>
      </c>
      <c r="C103" t="s">
        <v>17</v>
      </c>
      <c r="D103" t="s">
        <v>24</v>
      </c>
      <c r="E103">
        <v>2533</v>
      </c>
      <c r="F103" t="s">
        <v>14</v>
      </c>
      <c r="G103">
        <v>54</v>
      </c>
      <c r="H103">
        <v>1211.1400000000001</v>
      </c>
      <c r="I103">
        <v>181</v>
      </c>
      <c r="J103">
        <f t="shared" si="1"/>
        <v>219216.34000000003</v>
      </c>
    </row>
    <row r="104" spans="1:10" x14ac:dyDescent="0.35">
      <c r="A104">
        <v>26</v>
      </c>
      <c r="B104" t="s">
        <v>11</v>
      </c>
      <c r="C104" t="s">
        <v>8</v>
      </c>
      <c r="D104" t="s">
        <v>12</v>
      </c>
      <c r="E104">
        <v>3201</v>
      </c>
      <c r="F104" t="s">
        <v>14</v>
      </c>
      <c r="G104">
        <v>71</v>
      </c>
      <c r="H104">
        <v>2009.24</v>
      </c>
      <c r="I104">
        <v>137</v>
      </c>
      <c r="J104">
        <f t="shared" si="1"/>
        <v>275265.88</v>
      </c>
    </row>
    <row r="105" spans="1:10" x14ac:dyDescent="0.35">
      <c r="A105">
        <v>31</v>
      </c>
      <c r="B105" t="s">
        <v>11</v>
      </c>
      <c r="C105" t="s">
        <v>13</v>
      </c>
      <c r="D105" t="s">
        <v>12</v>
      </c>
      <c r="E105">
        <v>9267</v>
      </c>
      <c r="F105" t="s">
        <v>18</v>
      </c>
      <c r="G105">
        <v>34</v>
      </c>
      <c r="H105">
        <v>1310.46</v>
      </c>
      <c r="I105">
        <v>191</v>
      </c>
      <c r="J105">
        <f t="shared" si="1"/>
        <v>250297.86000000002</v>
      </c>
    </row>
    <row r="106" spans="1:10" x14ac:dyDescent="0.35">
      <c r="A106">
        <v>34</v>
      </c>
      <c r="B106" t="s">
        <v>11</v>
      </c>
      <c r="C106" t="s">
        <v>8</v>
      </c>
      <c r="D106" t="s">
        <v>20</v>
      </c>
      <c r="E106">
        <v>4319</v>
      </c>
      <c r="F106" t="s">
        <v>10</v>
      </c>
      <c r="G106">
        <v>53</v>
      </c>
      <c r="H106">
        <v>1792.07</v>
      </c>
      <c r="I106">
        <v>8</v>
      </c>
      <c r="J106">
        <f t="shared" si="1"/>
        <v>14336.56</v>
      </c>
    </row>
    <row r="107" spans="1:10" x14ac:dyDescent="0.35">
      <c r="A107">
        <v>63</v>
      </c>
      <c r="B107" t="s">
        <v>11</v>
      </c>
      <c r="C107" t="s">
        <v>12</v>
      </c>
      <c r="D107" t="s">
        <v>20</v>
      </c>
      <c r="E107">
        <v>2201</v>
      </c>
      <c r="F107" t="s">
        <v>14</v>
      </c>
      <c r="G107">
        <v>80</v>
      </c>
      <c r="H107">
        <v>1058.28</v>
      </c>
      <c r="I107">
        <v>88</v>
      </c>
      <c r="J107">
        <f t="shared" si="1"/>
        <v>93128.639999999999</v>
      </c>
    </row>
    <row r="108" spans="1:10" x14ac:dyDescent="0.35">
      <c r="A108">
        <v>68</v>
      </c>
      <c r="B108" t="s">
        <v>11</v>
      </c>
      <c r="C108" t="s">
        <v>24</v>
      </c>
      <c r="D108" t="s">
        <v>12</v>
      </c>
      <c r="E108">
        <v>6998</v>
      </c>
      <c r="F108" t="s">
        <v>10</v>
      </c>
      <c r="G108">
        <v>8</v>
      </c>
      <c r="H108">
        <v>981.05</v>
      </c>
      <c r="I108">
        <v>16</v>
      </c>
      <c r="J108">
        <f t="shared" si="1"/>
        <v>15696.8</v>
      </c>
    </row>
    <row r="109" spans="1:10" x14ac:dyDescent="0.35">
      <c r="A109">
        <v>75</v>
      </c>
      <c r="B109" t="s">
        <v>11</v>
      </c>
      <c r="C109" t="s">
        <v>17</v>
      </c>
      <c r="D109" t="s">
        <v>8</v>
      </c>
      <c r="E109">
        <v>3075</v>
      </c>
      <c r="F109" t="s">
        <v>10</v>
      </c>
      <c r="G109">
        <v>32</v>
      </c>
      <c r="H109">
        <v>1198.3800000000001</v>
      </c>
      <c r="I109">
        <v>65</v>
      </c>
      <c r="J109">
        <f t="shared" si="1"/>
        <v>77894.700000000012</v>
      </c>
    </row>
    <row r="110" spans="1:10" x14ac:dyDescent="0.35">
      <c r="A110">
        <v>77</v>
      </c>
      <c r="B110" t="s">
        <v>11</v>
      </c>
      <c r="C110" t="s">
        <v>12</v>
      </c>
      <c r="D110" t="s">
        <v>16</v>
      </c>
      <c r="E110">
        <v>6447</v>
      </c>
      <c r="F110" t="s">
        <v>10</v>
      </c>
      <c r="G110">
        <v>74</v>
      </c>
      <c r="H110">
        <v>1417.51</v>
      </c>
      <c r="I110">
        <v>124</v>
      </c>
      <c r="J110">
        <f t="shared" si="1"/>
        <v>175771.24</v>
      </c>
    </row>
    <row r="111" spans="1:10" x14ac:dyDescent="0.35">
      <c r="A111">
        <v>94</v>
      </c>
      <c r="B111" t="s">
        <v>11</v>
      </c>
      <c r="C111" t="s">
        <v>12</v>
      </c>
      <c r="D111" t="s">
        <v>17</v>
      </c>
      <c r="E111">
        <v>396</v>
      </c>
      <c r="F111" t="s">
        <v>18</v>
      </c>
      <c r="G111">
        <v>107</v>
      </c>
      <c r="H111">
        <v>1243.6300000000001</v>
      </c>
      <c r="I111">
        <v>74</v>
      </c>
      <c r="J111">
        <f t="shared" si="1"/>
        <v>92028.62000000001</v>
      </c>
    </row>
    <row r="112" spans="1:10" x14ac:dyDescent="0.35">
      <c r="A112">
        <v>103</v>
      </c>
      <c r="B112" t="s">
        <v>11</v>
      </c>
      <c r="C112" t="s">
        <v>24</v>
      </c>
      <c r="D112" t="s">
        <v>12</v>
      </c>
      <c r="E112">
        <v>8201</v>
      </c>
      <c r="F112" t="s">
        <v>14</v>
      </c>
      <c r="G112">
        <v>86</v>
      </c>
      <c r="H112">
        <v>2627.88</v>
      </c>
      <c r="I112">
        <v>200</v>
      </c>
      <c r="J112">
        <f t="shared" si="1"/>
        <v>525576</v>
      </c>
    </row>
    <row r="113" spans="1:10" x14ac:dyDescent="0.35">
      <c r="A113">
        <v>109</v>
      </c>
      <c r="B113" t="s">
        <v>11</v>
      </c>
      <c r="C113" t="s">
        <v>12</v>
      </c>
      <c r="D113" t="s">
        <v>16</v>
      </c>
      <c r="E113">
        <v>3445</v>
      </c>
      <c r="F113" t="s">
        <v>18</v>
      </c>
      <c r="G113">
        <v>105</v>
      </c>
      <c r="H113">
        <v>5377.31</v>
      </c>
      <c r="I113">
        <v>18</v>
      </c>
      <c r="J113">
        <f t="shared" si="1"/>
        <v>96791.58</v>
      </c>
    </row>
    <row r="114" spans="1:10" x14ac:dyDescent="0.35">
      <c r="A114">
        <v>111</v>
      </c>
      <c r="B114" t="s">
        <v>11</v>
      </c>
      <c r="C114" t="s">
        <v>24</v>
      </c>
      <c r="D114" t="s">
        <v>17</v>
      </c>
      <c r="E114">
        <v>11081</v>
      </c>
      <c r="F114" t="s">
        <v>14</v>
      </c>
      <c r="G114">
        <v>91</v>
      </c>
      <c r="H114">
        <v>2656.31</v>
      </c>
      <c r="I114">
        <v>118</v>
      </c>
      <c r="J114">
        <f t="shared" si="1"/>
        <v>313444.58</v>
      </c>
    </row>
    <row r="115" spans="1:10" x14ac:dyDescent="0.35">
      <c r="A115">
        <v>126</v>
      </c>
      <c r="B115" t="s">
        <v>11</v>
      </c>
      <c r="C115" t="s">
        <v>22</v>
      </c>
      <c r="D115" t="s">
        <v>17</v>
      </c>
      <c r="E115">
        <v>2279</v>
      </c>
      <c r="F115" t="s">
        <v>10</v>
      </c>
      <c r="G115">
        <v>103</v>
      </c>
      <c r="H115">
        <v>696.06</v>
      </c>
      <c r="I115">
        <v>18</v>
      </c>
      <c r="J115">
        <f t="shared" si="1"/>
        <v>12529.079999999998</v>
      </c>
    </row>
    <row r="116" spans="1:10" x14ac:dyDescent="0.35">
      <c r="A116">
        <v>132</v>
      </c>
      <c r="B116" t="s">
        <v>11</v>
      </c>
      <c r="C116" t="s">
        <v>9</v>
      </c>
      <c r="D116" t="s">
        <v>24</v>
      </c>
      <c r="E116">
        <v>1602</v>
      </c>
      <c r="F116" t="s">
        <v>14</v>
      </c>
      <c r="G116">
        <v>19</v>
      </c>
      <c r="H116">
        <v>4295.3999999999996</v>
      </c>
      <c r="I116">
        <v>39</v>
      </c>
      <c r="J116">
        <f t="shared" si="1"/>
        <v>167520.59999999998</v>
      </c>
    </row>
    <row r="117" spans="1:10" x14ac:dyDescent="0.35">
      <c r="A117">
        <v>145</v>
      </c>
      <c r="B117" t="s">
        <v>11</v>
      </c>
      <c r="C117" t="s">
        <v>13</v>
      </c>
      <c r="D117" t="s">
        <v>24</v>
      </c>
      <c r="E117">
        <v>4154</v>
      </c>
      <c r="F117" t="s">
        <v>18</v>
      </c>
      <c r="G117">
        <v>89</v>
      </c>
      <c r="H117">
        <v>5889.12</v>
      </c>
      <c r="I117">
        <v>163</v>
      </c>
      <c r="J117">
        <f t="shared" si="1"/>
        <v>959926.55999999994</v>
      </c>
    </row>
    <row r="118" spans="1:10" x14ac:dyDescent="0.35">
      <c r="A118">
        <v>172</v>
      </c>
      <c r="B118" t="s">
        <v>11</v>
      </c>
      <c r="C118" t="s">
        <v>16</v>
      </c>
      <c r="D118" t="s">
        <v>13</v>
      </c>
      <c r="E118">
        <v>8402</v>
      </c>
      <c r="F118" t="s">
        <v>14</v>
      </c>
      <c r="G118">
        <v>75</v>
      </c>
      <c r="H118">
        <v>2038.94</v>
      </c>
      <c r="I118">
        <v>133</v>
      </c>
      <c r="J118">
        <f t="shared" si="1"/>
        <v>271179.02</v>
      </c>
    </row>
    <row r="119" spans="1:10" x14ac:dyDescent="0.35">
      <c r="A119">
        <v>175</v>
      </c>
      <c r="B119" t="s">
        <v>11</v>
      </c>
      <c r="C119" t="s">
        <v>12</v>
      </c>
      <c r="D119" t="s">
        <v>9</v>
      </c>
      <c r="E119">
        <v>460</v>
      </c>
      <c r="F119" t="s">
        <v>18</v>
      </c>
      <c r="G119">
        <v>118</v>
      </c>
      <c r="H119">
        <v>1749.77</v>
      </c>
      <c r="I119">
        <v>167</v>
      </c>
      <c r="J119">
        <f t="shared" si="1"/>
        <v>292211.59000000003</v>
      </c>
    </row>
    <row r="120" spans="1:10" x14ac:dyDescent="0.35">
      <c r="A120">
        <v>176</v>
      </c>
      <c r="B120" t="s">
        <v>11</v>
      </c>
      <c r="C120" t="s">
        <v>22</v>
      </c>
      <c r="D120" t="s">
        <v>9</v>
      </c>
      <c r="E120">
        <v>4413</v>
      </c>
      <c r="F120" t="s">
        <v>14</v>
      </c>
      <c r="G120">
        <v>112</v>
      </c>
      <c r="H120">
        <v>393.39</v>
      </c>
      <c r="I120">
        <v>134</v>
      </c>
      <c r="J120">
        <f t="shared" si="1"/>
        <v>52714.259999999995</v>
      </c>
    </row>
    <row r="121" spans="1:10" x14ac:dyDescent="0.35">
      <c r="A121">
        <v>191</v>
      </c>
      <c r="B121" t="s">
        <v>11</v>
      </c>
      <c r="C121" t="s">
        <v>12</v>
      </c>
      <c r="D121" t="s">
        <v>8</v>
      </c>
      <c r="E121">
        <v>7130</v>
      </c>
      <c r="F121" t="s">
        <v>14</v>
      </c>
      <c r="G121">
        <v>72</v>
      </c>
      <c r="H121">
        <v>2720.95</v>
      </c>
      <c r="I121">
        <v>160</v>
      </c>
      <c r="J121">
        <f t="shared" si="1"/>
        <v>435352</v>
      </c>
    </row>
    <row r="122" spans="1:10" x14ac:dyDescent="0.35">
      <c r="A122">
        <v>200</v>
      </c>
      <c r="B122" t="s">
        <v>11</v>
      </c>
      <c r="C122" t="s">
        <v>9</v>
      </c>
      <c r="D122" t="s">
        <v>22</v>
      </c>
      <c r="E122">
        <v>6019</v>
      </c>
      <c r="F122" t="s">
        <v>18</v>
      </c>
      <c r="G122">
        <v>106</v>
      </c>
      <c r="H122">
        <v>523.36</v>
      </c>
      <c r="I122">
        <v>25</v>
      </c>
      <c r="J122">
        <f t="shared" si="1"/>
        <v>13084</v>
      </c>
    </row>
    <row r="123" spans="1:10" x14ac:dyDescent="0.35">
      <c r="A123">
        <v>210</v>
      </c>
      <c r="B123" t="s">
        <v>11</v>
      </c>
      <c r="C123" t="s">
        <v>23</v>
      </c>
      <c r="D123" t="s">
        <v>24</v>
      </c>
      <c r="E123">
        <v>11384</v>
      </c>
      <c r="F123" t="s">
        <v>10</v>
      </c>
      <c r="G123">
        <v>11</v>
      </c>
      <c r="H123">
        <v>425.61</v>
      </c>
      <c r="I123">
        <v>49</v>
      </c>
      <c r="J123">
        <f t="shared" si="1"/>
        <v>20854.89</v>
      </c>
    </row>
    <row r="124" spans="1:10" x14ac:dyDescent="0.35">
      <c r="A124">
        <v>217</v>
      </c>
      <c r="B124" t="s">
        <v>11</v>
      </c>
      <c r="C124" t="s">
        <v>16</v>
      </c>
      <c r="D124" t="s">
        <v>23</v>
      </c>
      <c r="E124">
        <v>4002</v>
      </c>
      <c r="F124" t="s">
        <v>14</v>
      </c>
      <c r="G124">
        <v>75</v>
      </c>
      <c r="H124">
        <v>848.01</v>
      </c>
      <c r="I124">
        <v>84</v>
      </c>
      <c r="J124">
        <f t="shared" si="1"/>
        <v>71232.84</v>
      </c>
    </row>
    <row r="125" spans="1:10" x14ac:dyDescent="0.35">
      <c r="A125">
        <v>245</v>
      </c>
      <c r="B125" t="s">
        <v>11</v>
      </c>
      <c r="C125" t="s">
        <v>12</v>
      </c>
      <c r="D125" t="s">
        <v>24</v>
      </c>
      <c r="E125">
        <v>6420</v>
      </c>
      <c r="F125" t="s">
        <v>10</v>
      </c>
      <c r="G125">
        <v>37</v>
      </c>
      <c r="H125">
        <v>817.76</v>
      </c>
      <c r="I125">
        <v>114</v>
      </c>
      <c r="J125">
        <f t="shared" si="1"/>
        <v>93224.639999999999</v>
      </c>
    </row>
    <row r="126" spans="1:10" x14ac:dyDescent="0.35">
      <c r="A126">
        <v>15</v>
      </c>
      <c r="B126" t="s">
        <v>25</v>
      </c>
      <c r="C126" t="s">
        <v>13</v>
      </c>
      <c r="D126" t="s">
        <v>24</v>
      </c>
      <c r="E126">
        <v>5492</v>
      </c>
      <c r="F126" t="s">
        <v>14</v>
      </c>
      <c r="G126">
        <v>38</v>
      </c>
      <c r="H126">
        <v>2044.55</v>
      </c>
      <c r="I126">
        <v>154</v>
      </c>
      <c r="J126">
        <f t="shared" si="1"/>
        <v>314860.7</v>
      </c>
    </row>
    <row r="127" spans="1:10" x14ac:dyDescent="0.35">
      <c r="A127">
        <v>18</v>
      </c>
      <c r="B127" t="s">
        <v>25</v>
      </c>
      <c r="C127" t="s">
        <v>23</v>
      </c>
      <c r="D127" t="s">
        <v>17</v>
      </c>
      <c r="E127">
        <v>11244</v>
      </c>
      <c r="F127" t="s">
        <v>10</v>
      </c>
      <c r="G127">
        <v>37</v>
      </c>
      <c r="H127">
        <v>306.5</v>
      </c>
      <c r="I127">
        <v>34</v>
      </c>
      <c r="J127">
        <f t="shared" si="1"/>
        <v>10421</v>
      </c>
    </row>
    <row r="128" spans="1:10" x14ac:dyDescent="0.35">
      <c r="A128">
        <v>20</v>
      </c>
      <c r="B128" t="s">
        <v>25</v>
      </c>
      <c r="C128" t="s">
        <v>9</v>
      </c>
      <c r="D128" t="s">
        <v>16</v>
      </c>
      <c r="E128">
        <v>9731</v>
      </c>
      <c r="F128" t="s">
        <v>18</v>
      </c>
      <c r="G128">
        <v>4</v>
      </c>
      <c r="H128">
        <v>1947.5</v>
      </c>
      <c r="I128">
        <v>81</v>
      </c>
      <c r="J128">
        <f t="shared" si="1"/>
        <v>157747.5</v>
      </c>
    </row>
    <row r="129" spans="1:10" x14ac:dyDescent="0.35">
      <c r="A129">
        <v>32</v>
      </c>
      <c r="B129" t="s">
        <v>25</v>
      </c>
      <c r="C129" t="s">
        <v>16</v>
      </c>
      <c r="D129" t="s">
        <v>23</v>
      </c>
      <c r="E129">
        <v>1682</v>
      </c>
      <c r="F129" t="s">
        <v>18</v>
      </c>
      <c r="G129">
        <v>83</v>
      </c>
      <c r="H129">
        <v>3316.6</v>
      </c>
      <c r="I129">
        <v>32</v>
      </c>
      <c r="J129">
        <f t="shared" si="1"/>
        <v>106131.2</v>
      </c>
    </row>
    <row r="130" spans="1:10" x14ac:dyDescent="0.35">
      <c r="A130">
        <v>33</v>
      </c>
      <c r="B130" t="s">
        <v>25</v>
      </c>
      <c r="C130" t="s">
        <v>23</v>
      </c>
      <c r="D130" t="s">
        <v>20</v>
      </c>
      <c r="E130">
        <v>10010</v>
      </c>
      <c r="F130" t="s">
        <v>14</v>
      </c>
      <c r="G130">
        <v>44</v>
      </c>
      <c r="H130">
        <v>1895.91</v>
      </c>
      <c r="I130">
        <v>123</v>
      </c>
      <c r="J130">
        <f t="shared" si="1"/>
        <v>233196.93000000002</v>
      </c>
    </row>
    <row r="131" spans="1:10" x14ac:dyDescent="0.35">
      <c r="A131">
        <v>47</v>
      </c>
      <c r="B131" t="s">
        <v>25</v>
      </c>
      <c r="C131" t="s">
        <v>9</v>
      </c>
      <c r="D131" t="s">
        <v>12</v>
      </c>
      <c r="E131">
        <v>4452</v>
      </c>
      <c r="F131" t="s">
        <v>14</v>
      </c>
      <c r="G131">
        <v>6</v>
      </c>
      <c r="H131">
        <v>1593.55</v>
      </c>
      <c r="I131">
        <v>77</v>
      </c>
      <c r="J131">
        <f t="shared" ref="J131:J194" si="2">H131*I131</f>
        <v>122703.34999999999</v>
      </c>
    </row>
    <row r="132" spans="1:10" x14ac:dyDescent="0.35">
      <c r="A132">
        <v>55</v>
      </c>
      <c r="B132" t="s">
        <v>25</v>
      </c>
      <c r="C132" t="s">
        <v>24</v>
      </c>
      <c r="D132" t="s">
        <v>22</v>
      </c>
      <c r="E132">
        <v>4586</v>
      </c>
      <c r="F132" t="s">
        <v>10</v>
      </c>
      <c r="G132">
        <v>50</v>
      </c>
      <c r="H132">
        <v>2477.71</v>
      </c>
      <c r="I132">
        <v>184</v>
      </c>
      <c r="J132">
        <f t="shared" si="2"/>
        <v>455898.64</v>
      </c>
    </row>
    <row r="133" spans="1:10" x14ac:dyDescent="0.35">
      <c r="A133">
        <v>59</v>
      </c>
      <c r="B133" t="s">
        <v>25</v>
      </c>
      <c r="C133" t="s">
        <v>8</v>
      </c>
      <c r="D133" t="s">
        <v>12</v>
      </c>
      <c r="E133">
        <v>951</v>
      </c>
      <c r="F133" t="s">
        <v>10</v>
      </c>
      <c r="G133">
        <v>102</v>
      </c>
      <c r="H133">
        <v>824.72</v>
      </c>
      <c r="I133">
        <v>72</v>
      </c>
      <c r="J133">
        <f t="shared" si="2"/>
        <v>59379.840000000004</v>
      </c>
    </row>
    <row r="134" spans="1:10" x14ac:dyDescent="0.35">
      <c r="A134">
        <v>61</v>
      </c>
      <c r="B134" t="s">
        <v>25</v>
      </c>
      <c r="C134" t="s">
        <v>23</v>
      </c>
      <c r="D134" t="s">
        <v>22</v>
      </c>
      <c r="E134">
        <v>11300</v>
      </c>
      <c r="F134" t="s">
        <v>18</v>
      </c>
      <c r="G134">
        <v>9</v>
      </c>
      <c r="H134">
        <v>293.25</v>
      </c>
      <c r="I134">
        <v>5</v>
      </c>
      <c r="J134">
        <f t="shared" si="2"/>
        <v>1466.25</v>
      </c>
    </row>
    <row r="135" spans="1:10" x14ac:dyDescent="0.35">
      <c r="A135">
        <v>74</v>
      </c>
      <c r="B135" t="s">
        <v>25</v>
      </c>
      <c r="C135" t="s">
        <v>13</v>
      </c>
      <c r="D135" t="s">
        <v>24</v>
      </c>
      <c r="E135">
        <v>8292</v>
      </c>
      <c r="F135" t="s">
        <v>10</v>
      </c>
      <c r="G135">
        <v>87</v>
      </c>
      <c r="H135">
        <v>742.15</v>
      </c>
      <c r="I135">
        <v>138</v>
      </c>
      <c r="J135">
        <f t="shared" si="2"/>
        <v>102416.7</v>
      </c>
    </row>
    <row r="136" spans="1:10" x14ac:dyDescent="0.35">
      <c r="A136">
        <v>82</v>
      </c>
      <c r="B136" t="s">
        <v>25</v>
      </c>
      <c r="C136" t="s">
        <v>23</v>
      </c>
      <c r="D136" t="s">
        <v>16</v>
      </c>
      <c r="E136">
        <v>804</v>
      </c>
      <c r="F136" t="s">
        <v>18</v>
      </c>
      <c r="G136">
        <v>16</v>
      </c>
      <c r="H136">
        <v>2045.27</v>
      </c>
      <c r="I136">
        <v>26</v>
      </c>
      <c r="J136">
        <f t="shared" si="2"/>
        <v>53177.02</v>
      </c>
    </row>
    <row r="137" spans="1:10" x14ac:dyDescent="0.35">
      <c r="A137">
        <v>84</v>
      </c>
      <c r="B137" t="s">
        <v>25</v>
      </c>
      <c r="C137" t="s">
        <v>24</v>
      </c>
      <c r="D137" t="s">
        <v>17</v>
      </c>
      <c r="E137">
        <v>4239</v>
      </c>
      <c r="F137" t="s">
        <v>10</v>
      </c>
      <c r="G137">
        <v>21</v>
      </c>
      <c r="H137">
        <v>2392.13</v>
      </c>
      <c r="I137">
        <v>112</v>
      </c>
      <c r="J137">
        <f t="shared" si="2"/>
        <v>267918.56</v>
      </c>
    </row>
    <row r="138" spans="1:10" x14ac:dyDescent="0.35">
      <c r="A138">
        <v>86</v>
      </c>
      <c r="B138" t="s">
        <v>25</v>
      </c>
      <c r="C138" t="s">
        <v>16</v>
      </c>
      <c r="D138" t="s">
        <v>23</v>
      </c>
      <c r="E138">
        <v>2167</v>
      </c>
      <c r="F138" t="s">
        <v>14</v>
      </c>
      <c r="G138">
        <v>107</v>
      </c>
      <c r="H138">
        <v>584.62</v>
      </c>
      <c r="I138">
        <v>10</v>
      </c>
      <c r="J138">
        <f t="shared" si="2"/>
        <v>5846.2</v>
      </c>
    </row>
    <row r="139" spans="1:10" x14ac:dyDescent="0.35">
      <c r="A139">
        <v>88</v>
      </c>
      <c r="B139" t="s">
        <v>25</v>
      </c>
      <c r="C139" t="s">
        <v>13</v>
      </c>
      <c r="D139" t="s">
        <v>22</v>
      </c>
      <c r="E139">
        <v>6188</v>
      </c>
      <c r="F139" t="s">
        <v>14</v>
      </c>
      <c r="G139">
        <v>35</v>
      </c>
      <c r="H139">
        <v>5264.14</v>
      </c>
      <c r="I139">
        <v>196</v>
      </c>
      <c r="J139">
        <f t="shared" si="2"/>
        <v>1031771.4400000001</v>
      </c>
    </row>
    <row r="140" spans="1:10" x14ac:dyDescent="0.35">
      <c r="A140">
        <v>89</v>
      </c>
      <c r="B140" t="s">
        <v>25</v>
      </c>
      <c r="C140" t="s">
        <v>12</v>
      </c>
      <c r="D140" t="s">
        <v>23</v>
      </c>
      <c r="E140">
        <v>5347</v>
      </c>
      <c r="F140" t="s">
        <v>14</v>
      </c>
      <c r="G140">
        <v>66</v>
      </c>
      <c r="H140">
        <v>921.18</v>
      </c>
      <c r="I140">
        <v>84</v>
      </c>
      <c r="J140">
        <f t="shared" si="2"/>
        <v>77379.12</v>
      </c>
    </row>
    <row r="141" spans="1:10" x14ac:dyDescent="0.35">
      <c r="A141">
        <v>93</v>
      </c>
      <c r="B141" t="s">
        <v>25</v>
      </c>
      <c r="C141" t="s">
        <v>9</v>
      </c>
      <c r="D141" t="s">
        <v>16</v>
      </c>
      <c r="E141">
        <v>2068</v>
      </c>
      <c r="F141" t="s">
        <v>10</v>
      </c>
      <c r="G141">
        <v>93</v>
      </c>
      <c r="H141">
        <v>3274.89</v>
      </c>
      <c r="I141">
        <v>97</v>
      </c>
      <c r="J141">
        <f t="shared" si="2"/>
        <v>317664.33</v>
      </c>
    </row>
    <row r="142" spans="1:10" x14ac:dyDescent="0.35">
      <c r="A142">
        <v>95</v>
      </c>
      <c r="B142" t="s">
        <v>25</v>
      </c>
      <c r="C142" t="s">
        <v>8</v>
      </c>
      <c r="D142" t="s">
        <v>24</v>
      </c>
      <c r="E142">
        <v>11306</v>
      </c>
      <c r="F142" t="s">
        <v>10</v>
      </c>
      <c r="G142">
        <v>19</v>
      </c>
      <c r="H142">
        <v>5133.78</v>
      </c>
      <c r="I142">
        <v>67</v>
      </c>
      <c r="J142">
        <f t="shared" si="2"/>
        <v>343963.26</v>
      </c>
    </row>
    <row r="143" spans="1:10" x14ac:dyDescent="0.35">
      <c r="A143">
        <v>97</v>
      </c>
      <c r="B143" t="s">
        <v>25</v>
      </c>
      <c r="C143" t="s">
        <v>9</v>
      </c>
      <c r="D143" t="s">
        <v>24</v>
      </c>
      <c r="E143">
        <v>1888</v>
      </c>
      <c r="F143" t="s">
        <v>18</v>
      </c>
      <c r="G143">
        <v>66</v>
      </c>
      <c r="H143">
        <v>916.41</v>
      </c>
      <c r="I143">
        <v>95</v>
      </c>
      <c r="J143">
        <f t="shared" si="2"/>
        <v>87058.95</v>
      </c>
    </row>
    <row r="144" spans="1:10" x14ac:dyDescent="0.35">
      <c r="A144">
        <v>100</v>
      </c>
      <c r="B144" t="s">
        <v>25</v>
      </c>
      <c r="C144" t="s">
        <v>22</v>
      </c>
      <c r="D144" t="s">
        <v>17</v>
      </c>
      <c r="E144">
        <v>5802</v>
      </c>
      <c r="F144" t="s">
        <v>14</v>
      </c>
      <c r="G144">
        <v>96</v>
      </c>
      <c r="H144">
        <v>1984.74</v>
      </c>
      <c r="I144">
        <v>61</v>
      </c>
      <c r="J144">
        <f t="shared" si="2"/>
        <v>121069.14</v>
      </c>
    </row>
    <row r="145" spans="1:10" x14ac:dyDescent="0.35">
      <c r="A145">
        <v>105</v>
      </c>
      <c r="B145" t="s">
        <v>25</v>
      </c>
      <c r="C145" t="s">
        <v>8</v>
      </c>
      <c r="D145" t="s">
        <v>20</v>
      </c>
      <c r="E145">
        <v>8427</v>
      </c>
      <c r="F145" t="s">
        <v>10</v>
      </c>
      <c r="G145">
        <v>19</v>
      </c>
      <c r="H145">
        <v>3758.74</v>
      </c>
      <c r="I145">
        <v>97</v>
      </c>
      <c r="J145">
        <f t="shared" si="2"/>
        <v>364597.77999999997</v>
      </c>
    </row>
    <row r="146" spans="1:10" x14ac:dyDescent="0.35">
      <c r="A146">
        <v>138</v>
      </c>
      <c r="B146" t="s">
        <v>25</v>
      </c>
      <c r="C146" t="s">
        <v>17</v>
      </c>
      <c r="D146" t="s">
        <v>22</v>
      </c>
      <c r="E146">
        <v>7826</v>
      </c>
      <c r="F146" t="s">
        <v>18</v>
      </c>
      <c r="G146">
        <v>24</v>
      </c>
      <c r="H146">
        <v>1554.41</v>
      </c>
      <c r="I146">
        <v>41</v>
      </c>
      <c r="J146">
        <f t="shared" si="2"/>
        <v>63730.810000000005</v>
      </c>
    </row>
    <row r="147" spans="1:10" x14ac:dyDescent="0.35">
      <c r="A147">
        <v>169</v>
      </c>
      <c r="B147" t="s">
        <v>25</v>
      </c>
      <c r="C147" t="s">
        <v>8</v>
      </c>
      <c r="D147" t="s">
        <v>9</v>
      </c>
      <c r="E147">
        <v>10515</v>
      </c>
      <c r="F147" t="s">
        <v>18</v>
      </c>
      <c r="G147">
        <v>56</v>
      </c>
      <c r="H147">
        <v>1883.93</v>
      </c>
      <c r="I147">
        <v>33</v>
      </c>
      <c r="J147">
        <f t="shared" si="2"/>
        <v>62169.69</v>
      </c>
    </row>
    <row r="148" spans="1:10" x14ac:dyDescent="0.35">
      <c r="A148">
        <v>173</v>
      </c>
      <c r="B148" t="s">
        <v>25</v>
      </c>
      <c r="C148" t="s">
        <v>8</v>
      </c>
      <c r="D148" t="s">
        <v>22</v>
      </c>
      <c r="E148">
        <v>2274</v>
      </c>
      <c r="F148" t="s">
        <v>10</v>
      </c>
      <c r="G148">
        <v>40</v>
      </c>
      <c r="H148">
        <v>2299.94</v>
      </c>
      <c r="I148">
        <v>20</v>
      </c>
      <c r="J148">
        <f t="shared" si="2"/>
        <v>45998.8</v>
      </c>
    </row>
    <row r="149" spans="1:10" x14ac:dyDescent="0.35">
      <c r="A149">
        <v>179</v>
      </c>
      <c r="B149" t="s">
        <v>25</v>
      </c>
      <c r="C149" t="s">
        <v>24</v>
      </c>
      <c r="D149" t="s">
        <v>17</v>
      </c>
      <c r="E149">
        <v>6952</v>
      </c>
      <c r="F149" t="s">
        <v>18</v>
      </c>
      <c r="G149">
        <v>93</v>
      </c>
      <c r="H149">
        <v>955.08</v>
      </c>
      <c r="I149">
        <v>100</v>
      </c>
      <c r="J149">
        <f t="shared" si="2"/>
        <v>95508</v>
      </c>
    </row>
    <row r="150" spans="1:10" x14ac:dyDescent="0.35">
      <c r="A150">
        <v>188</v>
      </c>
      <c r="B150" t="s">
        <v>25</v>
      </c>
      <c r="C150" t="s">
        <v>20</v>
      </c>
      <c r="D150" t="s">
        <v>16</v>
      </c>
      <c r="E150">
        <v>11323</v>
      </c>
      <c r="F150" t="s">
        <v>14</v>
      </c>
      <c r="G150">
        <v>100</v>
      </c>
      <c r="H150">
        <v>373.53</v>
      </c>
      <c r="I150">
        <v>28</v>
      </c>
      <c r="J150">
        <f t="shared" si="2"/>
        <v>10458.84</v>
      </c>
    </row>
    <row r="151" spans="1:10" x14ac:dyDescent="0.35">
      <c r="A151">
        <v>189</v>
      </c>
      <c r="B151" t="s">
        <v>25</v>
      </c>
      <c r="C151" t="s">
        <v>24</v>
      </c>
      <c r="D151" t="s">
        <v>8</v>
      </c>
      <c r="E151">
        <v>543</v>
      </c>
      <c r="F151" t="s">
        <v>18</v>
      </c>
      <c r="G151">
        <v>54</v>
      </c>
      <c r="H151">
        <v>4434.71</v>
      </c>
      <c r="I151">
        <v>99</v>
      </c>
      <c r="J151">
        <f t="shared" si="2"/>
        <v>439036.29</v>
      </c>
    </row>
    <row r="152" spans="1:10" x14ac:dyDescent="0.35">
      <c r="A152">
        <v>192</v>
      </c>
      <c r="B152" t="s">
        <v>25</v>
      </c>
      <c r="C152" t="s">
        <v>12</v>
      </c>
      <c r="D152" t="s">
        <v>9</v>
      </c>
      <c r="E152">
        <v>807</v>
      </c>
      <c r="F152" t="s">
        <v>10</v>
      </c>
      <c r="G152">
        <v>85</v>
      </c>
      <c r="H152">
        <v>2110.31</v>
      </c>
      <c r="I152">
        <v>33</v>
      </c>
      <c r="J152">
        <f t="shared" si="2"/>
        <v>69640.23</v>
      </c>
    </row>
    <row r="153" spans="1:10" x14ac:dyDescent="0.35">
      <c r="A153">
        <v>199</v>
      </c>
      <c r="B153" t="s">
        <v>25</v>
      </c>
      <c r="C153" t="s">
        <v>9</v>
      </c>
      <c r="D153" t="s">
        <v>23</v>
      </c>
      <c r="E153">
        <v>9628</v>
      </c>
      <c r="F153" t="s">
        <v>10</v>
      </c>
      <c r="G153">
        <v>31</v>
      </c>
      <c r="H153">
        <v>857.6</v>
      </c>
      <c r="I153">
        <v>97</v>
      </c>
      <c r="J153">
        <f t="shared" si="2"/>
        <v>83187.199999999997</v>
      </c>
    </row>
    <row r="154" spans="1:10" x14ac:dyDescent="0.35">
      <c r="A154">
        <v>202</v>
      </c>
      <c r="B154" t="s">
        <v>25</v>
      </c>
      <c r="C154" t="s">
        <v>17</v>
      </c>
      <c r="D154" t="s">
        <v>16</v>
      </c>
      <c r="E154">
        <v>11626</v>
      </c>
      <c r="F154" t="s">
        <v>10</v>
      </c>
      <c r="G154">
        <v>68</v>
      </c>
      <c r="H154">
        <v>935.49</v>
      </c>
      <c r="I154">
        <v>170</v>
      </c>
      <c r="J154">
        <f t="shared" si="2"/>
        <v>159033.29999999999</v>
      </c>
    </row>
    <row r="155" spans="1:10" x14ac:dyDescent="0.35">
      <c r="A155">
        <v>220</v>
      </c>
      <c r="B155" t="s">
        <v>25</v>
      </c>
      <c r="C155" t="s">
        <v>22</v>
      </c>
      <c r="D155" t="s">
        <v>24</v>
      </c>
      <c r="E155">
        <v>1463</v>
      </c>
      <c r="F155" t="s">
        <v>18</v>
      </c>
      <c r="G155">
        <v>32</v>
      </c>
      <c r="H155">
        <v>770.28</v>
      </c>
      <c r="I155">
        <v>164</v>
      </c>
      <c r="J155">
        <f t="shared" si="2"/>
        <v>126325.92</v>
      </c>
    </row>
    <row r="156" spans="1:10" x14ac:dyDescent="0.35">
      <c r="A156">
        <v>227</v>
      </c>
      <c r="B156" t="s">
        <v>25</v>
      </c>
      <c r="C156" t="s">
        <v>24</v>
      </c>
      <c r="D156" t="s">
        <v>17</v>
      </c>
      <c r="E156">
        <v>5792</v>
      </c>
      <c r="F156" t="s">
        <v>10</v>
      </c>
      <c r="G156">
        <v>50</v>
      </c>
      <c r="H156">
        <v>1135.92</v>
      </c>
      <c r="I156">
        <v>100</v>
      </c>
      <c r="J156">
        <f t="shared" si="2"/>
        <v>113592</v>
      </c>
    </row>
    <row r="157" spans="1:10" x14ac:dyDescent="0.35">
      <c r="A157">
        <v>237</v>
      </c>
      <c r="B157" t="s">
        <v>25</v>
      </c>
      <c r="C157" t="s">
        <v>23</v>
      </c>
      <c r="D157" t="s">
        <v>17</v>
      </c>
      <c r="E157">
        <v>7370</v>
      </c>
      <c r="F157" t="s">
        <v>14</v>
      </c>
      <c r="G157">
        <v>102</v>
      </c>
      <c r="H157">
        <v>2852.67</v>
      </c>
      <c r="I157">
        <v>91</v>
      </c>
      <c r="J157">
        <f t="shared" si="2"/>
        <v>259592.97</v>
      </c>
    </row>
    <row r="158" spans="1:10" x14ac:dyDescent="0.35">
      <c r="A158">
        <v>243</v>
      </c>
      <c r="B158" t="s">
        <v>25</v>
      </c>
      <c r="C158" t="s">
        <v>20</v>
      </c>
      <c r="D158" t="s">
        <v>12</v>
      </c>
      <c r="E158">
        <v>7175</v>
      </c>
      <c r="F158" t="s">
        <v>14</v>
      </c>
      <c r="G158">
        <v>79</v>
      </c>
      <c r="H158">
        <v>3648.54</v>
      </c>
      <c r="I158">
        <v>26</v>
      </c>
      <c r="J158">
        <f t="shared" si="2"/>
        <v>94862.04</v>
      </c>
    </row>
    <row r="159" spans="1:10" x14ac:dyDescent="0.35">
      <c r="A159">
        <v>249</v>
      </c>
      <c r="B159" t="s">
        <v>25</v>
      </c>
      <c r="C159" t="s">
        <v>17</v>
      </c>
      <c r="D159" t="s">
        <v>12</v>
      </c>
      <c r="E159">
        <v>8028</v>
      </c>
      <c r="F159" t="s">
        <v>14</v>
      </c>
      <c r="G159">
        <v>58</v>
      </c>
      <c r="H159">
        <v>2789.98</v>
      </c>
      <c r="I159">
        <v>150</v>
      </c>
      <c r="J159">
        <f t="shared" si="2"/>
        <v>418497</v>
      </c>
    </row>
    <row r="160" spans="1:10" x14ac:dyDescent="0.35">
      <c r="A160">
        <v>5</v>
      </c>
      <c r="B160" t="s">
        <v>21</v>
      </c>
      <c r="C160" t="s">
        <v>22</v>
      </c>
      <c r="D160" t="s">
        <v>16</v>
      </c>
      <c r="E160">
        <v>1308</v>
      </c>
      <c r="F160" t="s">
        <v>14</v>
      </c>
      <c r="G160">
        <v>60</v>
      </c>
      <c r="H160">
        <v>626.66</v>
      </c>
      <c r="I160">
        <v>92</v>
      </c>
      <c r="J160">
        <f t="shared" si="2"/>
        <v>57652.719999999994</v>
      </c>
    </row>
    <row r="161" spans="1:10" x14ac:dyDescent="0.35">
      <c r="A161">
        <v>9</v>
      </c>
      <c r="B161" t="s">
        <v>21</v>
      </c>
      <c r="C161" t="s">
        <v>9</v>
      </c>
      <c r="D161" t="s">
        <v>17</v>
      </c>
      <c r="E161">
        <v>7150</v>
      </c>
      <c r="F161" t="s">
        <v>14</v>
      </c>
      <c r="G161">
        <v>24</v>
      </c>
      <c r="H161">
        <v>1254.97</v>
      </c>
      <c r="I161">
        <v>121</v>
      </c>
      <c r="J161">
        <f t="shared" si="2"/>
        <v>151851.37</v>
      </c>
    </row>
    <row r="162" spans="1:10" x14ac:dyDescent="0.35">
      <c r="A162">
        <v>12</v>
      </c>
      <c r="B162" t="s">
        <v>21</v>
      </c>
      <c r="C162" t="s">
        <v>22</v>
      </c>
      <c r="D162" t="s">
        <v>24</v>
      </c>
      <c r="E162">
        <v>5589</v>
      </c>
      <c r="F162" t="s">
        <v>14</v>
      </c>
      <c r="G162">
        <v>108</v>
      </c>
      <c r="H162">
        <v>3519.14</v>
      </c>
      <c r="I162">
        <v>19</v>
      </c>
      <c r="J162">
        <f t="shared" si="2"/>
        <v>66863.66</v>
      </c>
    </row>
    <row r="163" spans="1:10" x14ac:dyDescent="0.35">
      <c r="A163">
        <v>14</v>
      </c>
      <c r="B163" t="s">
        <v>21</v>
      </c>
      <c r="C163" t="s">
        <v>22</v>
      </c>
      <c r="D163" t="s">
        <v>24</v>
      </c>
      <c r="E163">
        <v>9572</v>
      </c>
      <c r="F163" t="s">
        <v>10</v>
      </c>
      <c r="G163">
        <v>48</v>
      </c>
      <c r="H163">
        <v>3485.76</v>
      </c>
      <c r="I163">
        <v>72</v>
      </c>
      <c r="J163">
        <f t="shared" si="2"/>
        <v>250974.72000000003</v>
      </c>
    </row>
    <row r="164" spans="1:10" x14ac:dyDescent="0.35">
      <c r="A164">
        <v>21</v>
      </c>
      <c r="B164" t="s">
        <v>21</v>
      </c>
      <c r="C164" t="s">
        <v>22</v>
      </c>
      <c r="D164" t="s">
        <v>23</v>
      </c>
      <c r="E164">
        <v>10971</v>
      </c>
      <c r="F164" t="s">
        <v>18</v>
      </c>
      <c r="G164">
        <v>19</v>
      </c>
      <c r="H164">
        <v>4419.58</v>
      </c>
      <c r="I164">
        <v>143</v>
      </c>
      <c r="J164">
        <f t="shared" si="2"/>
        <v>631999.93999999994</v>
      </c>
    </row>
    <row r="165" spans="1:10" x14ac:dyDescent="0.35">
      <c r="A165">
        <v>29</v>
      </c>
      <c r="B165" t="s">
        <v>21</v>
      </c>
      <c r="C165" t="s">
        <v>23</v>
      </c>
      <c r="D165" t="s">
        <v>12</v>
      </c>
      <c r="E165">
        <v>2817</v>
      </c>
      <c r="F165" t="s">
        <v>14</v>
      </c>
      <c r="G165">
        <v>99</v>
      </c>
      <c r="H165">
        <v>5367.82</v>
      </c>
      <c r="I165">
        <v>129</v>
      </c>
      <c r="J165">
        <f t="shared" si="2"/>
        <v>692448.77999999991</v>
      </c>
    </row>
    <row r="166" spans="1:10" x14ac:dyDescent="0.35">
      <c r="A166">
        <v>40</v>
      </c>
      <c r="B166" t="s">
        <v>21</v>
      </c>
      <c r="C166" t="s">
        <v>8</v>
      </c>
      <c r="D166" t="s">
        <v>24</v>
      </c>
      <c r="E166">
        <v>4434</v>
      </c>
      <c r="F166" t="s">
        <v>10</v>
      </c>
      <c r="G166">
        <v>99</v>
      </c>
      <c r="H166">
        <v>1798.55</v>
      </c>
      <c r="I166">
        <v>150</v>
      </c>
      <c r="J166">
        <f t="shared" si="2"/>
        <v>269782.5</v>
      </c>
    </row>
    <row r="167" spans="1:10" x14ac:dyDescent="0.35">
      <c r="A167">
        <v>42</v>
      </c>
      <c r="B167" t="s">
        <v>21</v>
      </c>
      <c r="C167" t="s">
        <v>12</v>
      </c>
      <c r="D167" t="s">
        <v>16</v>
      </c>
      <c r="E167">
        <v>11502</v>
      </c>
      <c r="F167" t="s">
        <v>10</v>
      </c>
      <c r="G167">
        <v>43</v>
      </c>
      <c r="H167">
        <v>3552.64</v>
      </c>
      <c r="I167">
        <v>66</v>
      </c>
      <c r="J167">
        <f t="shared" si="2"/>
        <v>234474.23999999999</v>
      </c>
    </row>
    <row r="168" spans="1:10" x14ac:dyDescent="0.35">
      <c r="A168">
        <v>45</v>
      </c>
      <c r="B168" t="s">
        <v>21</v>
      </c>
      <c r="C168" t="s">
        <v>17</v>
      </c>
      <c r="D168" t="s">
        <v>9</v>
      </c>
      <c r="E168">
        <v>471</v>
      </c>
      <c r="F168" t="s">
        <v>18</v>
      </c>
      <c r="G168">
        <v>88</v>
      </c>
      <c r="H168">
        <v>2536.2800000000002</v>
      </c>
      <c r="I168">
        <v>144</v>
      </c>
      <c r="J168">
        <f t="shared" si="2"/>
        <v>365224.32</v>
      </c>
    </row>
    <row r="169" spans="1:10" x14ac:dyDescent="0.35">
      <c r="A169">
        <v>49</v>
      </c>
      <c r="B169" t="s">
        <v>21</v>
      </c>
      <c r="C169" t="s">
        <v>20</v>
      </c>
      <c r="D169" t="s">
        <v>23</v>
      </c>
      <c r="E169">
        <v>3482</v>
      </c>
      <c r="F169" t="s">
        <v>10</v>
      </c>
      <c r="G169">
        <v>90</v>
      </c>
      <c r="H169">
        <v>2052.9699999999998</v>
      </c>
      <c r="I169">
        <v>16</v>
      </c>
      <c r="J169">
        <f t="shared" si="2"/>
        <v>32847.519999999997</v>
      </c>
    </row>
    <row r="170" spans="1:10" x14ac:dyDescent="0.35">
      <c r="A170">
        <v>52</v>
      </c>
      <c r="B170" t="s">
        <v>21</v>
      </c>
      <c r="C170" t="s">
        <v>8</v>
      </c>
      <c r="D170" t="s">
        <v>20</v>
      </c>
      <c r="E170">
        <v>8504</v>
      </c>
      <c r="F170" t="s">
        <v>10</v>
      </c>
      <c r="G170">
        <v>76</v>
      </c>
      <c r="H170">
        <v>5363.96</v>
      </c>
      <c r="I170">
        <v>15</v>
      </c>
      <c r="J170">
        <f t="shared" si="2"/>
        <v>80459.399999999994</v>
      </c>
    </row>
    <row r="171" spans="1:10" x14ac:dyDescent="0.35">
      <c r="A171">
        <v>58</v>
      </c>
      <c r="B171" t="s">
        <v>21</v>
      </c>
      <c r="C171" t="s">
        <v>8</v>
      </c>
      <c r="D171" t="s">
        <v>9</v>
      </c>
      <c r="E171">
        <v>5736</v>
      </c>
      <c r="F171" t="s">
        <v>18</v>
      </c>
      <c r="G171">
        <v>30</v>
      </c>
      <c r="H171">
        <v>6473.45</v>
      </c>
      <c r="I171">
        <v>142</v>
      </c>
      <c r="J171">
        <f t="shared" si="2"/>
        <v>919229.9</v>
      </c>
    </row>
    <row r="172" spans="1:10" x14ac:dyDescent="0.35">
      <c r="A172">
        <v>67</v>
      </c>
      <c r="B172" t="s">
        <v>21</v>
      </c>
      <c r="C172" t="s">
        <v>13</v>
      </c>
      <c r="D172" t="s">
        <v>24</v>
      </c>
      <c r="E172">
        <v>6879</v>
      </c>
      <c r="F172" t="s">
        <v>18</v>
      </c>
      <c r="G172">
        <v>111</v>
      </c>
      <c r="H172">
        <v>3391.11</v>
      </c>
      <c r="I172">
        <v>163</v>
      </c>
      <c r="J172">
        <f t="shared" si="2"/>
        <v>552750.93000000005</v>
      </c>
    </row>
    <row r="173" spans="1:10" x14ac:dyDescent="0.35">
      <c r="A173">
        <v>70</v>
      </c>
      <c r="B173" t="s">
        <v>21</v>
      </c>
      <c r="C173" t="s">
        <v>24</v>
      </c>
      <c r="D173" t="s">
        <v>8</v>
      </c>
      <c r="E173">
        <v>4258</v>
      </c>
      <c r="F173" t="s">
        <v>18</v>
      </c>
      <c r="G173">
        <v>60</v>
      </c>
      <c r="H173">
        <v>2116.88</v>
      </c>
      <c r="I173">
        <v>181</v>
      </c>
      <c r="J173">
        <f t="shared" si="2"/>
        <v>383155.28</v>
      </c>
    </row>
    <row r="174" spans="1:10" x14ac:dyDescent="0.35">
      <c r="A174">
        <v>72</v>
      </c>
      <c r="B174" t="s">
        <v>21</v>
      </c>
      <c r="C174" t="s">
        <v>24</v>
      </c>
      <c r="D174" t="s">
        <v>9</v>
      </c>
      <c r="E174">
        <v>5031</v>
      </c>
      <c r="F174" t="s">
        <v>10</v>
      </c>
      <c r="G174">
        <v>92</v>
      </c>
      <c r="H174">
        <v>451.04</v>
      </c>
      <c r="I174">
        <v>148</v>
      </c>
      <c r="J174">
        <f t="shared" si="2"/>
        <v>66753.919999999998</v>
      </c>
    </row>
    <row r="175" spans="1:10" x14ac:dyDescent="0.35">
      <c r="A175">
        <v>87</v>
      </c>
      <c r="B175" t="s">
        <v>21</v>
      </c>
      <c r="C175" t="s">
        <v>8</v>
      </c>
      <c r="D175" t="s">
        <v>17</v>
      </c>
      <c r="E175">
        <v>884</v>
      </c>
      <c r="F175" t="s">
        <v>14</v>
      </c>
      <c r="G175">
        <v>14</v>
      </c>
      <c r="H175">
        <v>3172.05</v>
      </c>
      <c r="I175">
        <v>60</v>
      </c>
      <c r="J175">
        <f t="shared" si="2"/>
        <v>190323</v>
      </c>
    </row>
    <row r="176" spans="1:10" x14ac:dyDescent="0.35">
      <c r="A176">
        <v>90</v>
      </c>
      <c r="B176" t="s">
        <v>21</v>
      </c>
      <c r="C176" t="s">
        <v>12</v>
      </c>
      <c r="D176" t="s">
        <v>13</v>
      </c>
      <c r="E176">
        <v>11901</v>
      </c>
      <c r="F176" t="s">
        <v>14</v>
      </c>
      <c r="G176">
        <v>75</v>
      </c>
      <c r="H176">
        <v>365.36</v>
      </c>
      <c r="I176">
        <v>181</v>
      </c>
      <c r="J176">
        <f t="shared" si="2"/>
        <v>66130.16</v>
      </c>
    </row>
    <row r="177" spans="1:10" x14ac:dyDescent="0.35">
      <c r="A177">
        <v>110</v>
      </c>
      <c r="B177" t="s">
        <v>21</v>
      </c>
      <c r="C177" t="s">
        <v>12</v>
      </c>
      <c r="D177" t="s">
        <v>17</v>
      </c>
      <c r="E177">
        <v>2623</v>
      </c>
      <c r="F177" t="s">
        <v>14</v>
      </c>
      <c r="G177">
        <v>18</v>
      </c>
      <c r="H177">
        <v>1069.93</v>
      </c>
      <c r="I177">
        <v>200</v>
      </c>
      <c r="J177">
        <f t="shared" si="2"/>
        <v>213986</v>
      </c>
    </row>
    <row r="178" spans="1:10" x14ac:dyDescent="0.35">
      <c r="A178">
        <v>124</v>
      </c>
      <c r="B178" t="s">
        <v>21</v>
      </c>
      <c r="C178" t="s">
        <v>9</v>
      </c>
      <c r="D178" t="s">
        <v>16</v>
      </c>
      <c r="E178">
        <v>2970</v>
      </c>
      <c r="F178" t="s">
        <v>14</v>
      </c>
      <c r="G178">
        <v>69</v>
      </c>
      <c r="H178">
        <v>275.33999999999997</v>
      </c>
      <c r="I178">
        <v>107</v>
      </c>
      <c r="J178">
        <f t="shared" si="2"/>
        <v>29461.379999999997</v>
      </c>
    </row>
    <row r="179" spans="1:10" x14ac:dyDescent="0.35">
      <c r="A179">
        <v>133</v>
      </c>
      <c r="B179" t="s">
        <v>21</v>
      </c>
      <c r="C179" t="s">
        <v>12</v>
      </c>
      <c r="D179" t="s">
        <v>9</v>
      </c>
      <c r="E179">
        <v>484</v>
      </c>
      <c r="F179" t="s">
        <v>18</v>
      </c>
      <c r="G179">
        <v>70</v>
      </c>
      <c r="H179">
        <v>2396.7600000000002</v>
      </c>
      <c r="I179">
        <v>5</v>
      </c>
      <c r="J179">
        <f t="shared" si="2"/>
        <v>11983.800000000001</v>
      </c>
    </row>
    <row r="180" spans="1:10" x14ac:dyDescent="0.35">
      <c r="A180">
        <v>140</v>
      </c>
      <c r="B180" t="s">
        <v>21</v>
      </c>
      <c r="C180" t="s">
        <v>9</v>
      </c>
      <c r="D180" t="s">
        <v>20</v>
      </c>
      <c r="E180">
        <v>11511</v>
      </c>
      <c r="F180" t="s">
        <v>14</v>
      </c>
      <c r="G180">
        <v>66</v>
      </c>
      <c r="H180">
        <v>2601.86</v>
      </c>
      <c r="I180">
        <v>86</v>
      </c>
      <c r="J180">
        <f t="shared" si="2"/>
        <v>223759.96000000002</v>
      </c>
    </row>
    <row r="181" spans="1:10" x14ac:dyDescent="0.35">
      <c r="A181">
        <v>147</v>
      </c>
      <c r="B181" t="s">
        <v>21</v>
      </c>
      <c r="C181" t="s">
        <v>20</v>
      </c>
      <c r="D181" t="s">
        <v>8</v>
      </c>
      <c r="E181">
        <v>9400</v>
      </c>
      <c r="F181" t="s">
        <v>14</v>
      </c>
      <c r="G181">
        <v>117</v>
      </c>
      <c r="H181">
        <v>395.88</v>
      </c>
      <c r="I181">
        <v>23</v>
      </c>
      <c r="J181">
        <f t="shared" si="2"/>
        <v>9105.24</v>
      </c>
    </row>
    <row r="182" spans="1:10" x14ac:dyDescent="0.35">
      <c r="A182">
        <v>150</v>
      </c>
      <c r="B182" t="s">
        <v>21</v>
      </c>
      <c r="C182" t="s">
        <v>22</v>
      </c>
      <c r="D182" t="s">
        <v>20</v>
      </c>
      <c r="E182">
        <v>6143</v>
      </c>
      <c r="F182" t="s">
        <v>18</v>
      </c>
      <c r="G182">
        <v>14</v>
      </c>
      <c r="H182">
        <v>912.09</v>
      </c>
      <c r="I182">
        <v>7</v>
      </c>
      <c r="J182">
        <f t="shared" si="2"/>
        <v>6384.63</v>
      </c>
    </row>
    <row r="183" spans="1:10" x14ac:dyDescent="0.35">
      <c r="A183">
        <v>151</v>
      </c>
      <c r="B183" t="s">
        <v>21</v>
      </c>
      <c r="C183" t="s">
        <v>24</v>
      </c>
      <c r="D183" t="s">
        <v>9</v>
      </c>
      <c r="E183">
        <v>3733</v>
      </c>
      <c r="F183" t="s">
        <v>18</v>
      </c>
      <c r="G183">
        <v>48</v>
      </c>
      <c r="H183">
        <v>1486.51</v>
      </c>
      <c r="I183">
        <v>95</v>
      </c>
      <c r="J183">
        <f t="shared" si="2"/>
        <v>141218.45000000001</v>
      </c>
    </row>
    <row r="184" spans="1:10" x14ac:dyDescent="0.35">
      <c r="A184">
        <v>152</v>
      </c>
      <c r="B184" t="s">
        <v>21</v>
      </c>
      <c r="C184" t="s">
        <v>16</v>
      </c>
      <c r="D184" t="s">
        <v>8</v>
      </c>
      <c r="E184">
        <v>4151</v>
      </c>
      <c r="F184" t="s">
        <v>10</v>
      </c>
      <c r="G184">
        <v>23</v>
      </c>
      <c r="H184">
        <v>2026.29</v>
      </c>
      <c r="I184">
        <v>40</v>
      </c>
      <c r="J184">
        <f t="shared" si="2"/>
        <v>81051.600000000006</v>
      </c>
    </row>
    <row r="185" spans="1:10" x14ac:dyDescent="0.35">
      <c r="A185">
        <v>154</v>
      </c>
      <c r="B185" t="s">
        <v>21</v>
      </c>
      <c r="C185" t="s">
        <v>8</v>
      </c>
      <c r="D185" t="s">
        <v>16</v>
      </c>
      <c r="E185">
        <v>6407</v>
      </c>
      <c r="F185" t="s">
        <v>10</v>
      </c>
      <c r="G185">
        <v>89</v>
      </c>
      <c r="H185">
        <v>614.54999999999995</v>
      </c>
      <c r="I185">
        <v>38</v>
      </c>
      <c r="J185">
        <f t="shared" si="2"/>
        <v>23352.899999999998</v>
      </c>
    </row>
    <row r="186" spans="1:10" x14ac:dyDescent="0.35">
      <c r="A186">
        <v>163</v>
      </c>
      <c r="B186" t="s">
        <v>21</v>
      </c>
      <c r="C186" t="s">
        <v>16</v>
      </c>
      <c r="D186" t="s">
        <v>13</v>
      </c>
      <c r="E186">
        <v>11848</v>
      </c>
      <c r="F186" t="s">
        <v>18</v>
      </c>
      <c r="G186">
        <v>81</v>
      </c>
      <c r="H186">
        <v>4168.67</v>
      </c>
      <c r="I186">
        <v>130</v>
      </c>
      <c r="J186">
        <f t="shared" si="2"/>
        <v>541927.1</v>
      </c>
    </row>
    <row r="187" spans="1:10" x14ac:dyDescent="0.35">
      <c r="A187">
        <v>164</v>
      </c>
      <c r="B187" t="s">
        <v>21</v>
      </c>
      <c r="C187" t="s">
        <v>9</v>
      </c>
      <c r="D187" t="s">
        <v>8</v>
      </c>
      <c r="E187">
        <v>9012</v>
      </c>
      <c r="F187" t="s">
        <v>18</v>
      </c>
      <c r="G187">
        <v>38</v>
      </c>
      <c r="H187">
        <v>821.38</v>
      </c>
      <c r="I187">
        <v>118</v>
      </c>
      <c r="J187">
        <f t="shared" si="2"/>
        <v>96922.84</v>
      </c>
    </row>
    <row r="188" spans="1:10" x14ac:dyDescent="0.35">
      <c r="A188">
        <v>165</v>
      </c>
      <c r="B188" t="s">
        <v>21</v>
      </c>
      <c r="C188" t="s">
        <v>12</v>
      </c>
      <c r="D188" t="s">
        <v>20</v>
      </c>
      <c r="E188">
        <v>4565</v>
      </c>
      <c r="F188" t="s">
        <v>18</v>
      </c>
      <c r="G188">
        <v>81</v>
      </c>
      <c r="H188">
        <v>1767.21</v>
      </c>
      <c r="I188">
        <v>106</v>
      </c>
      <c r="J188">
        <f t="shared" si="2"/>
        <v>187324.26</v>
      </c>
    </row>
    <row r="189" spans="1:10" x14ac:dyDescent="0.35">
      <c r="A189">
        <v>168</v>
      </c>
      <c r="B189" t="s">
        <v>21</v>
      </c>
      <c r="C189" t="s">
        <v>12</v>
      </c>
      <c r="D189" t="s">
        <v>8</v>
      </c>
      <c r="E189">
        <v>10760</v>
      </c>
      <c r="F189" t="s">
        <v>10</v>
      </c>
      <c r="G189">
        <v>32</v>
      </c>
      <c r="H189">
        <v>2737.17</v>
      </c>
      <c r="I189">
        <v>157</v>
      </c>
      <c r="J189">
        <f t="shared" si="2"/>
        <v>429735.69</v>
      </c>
    </row>
    <row r="190" spans="1:10" x14ac:dyDescent="0.35">
      <c r="A190">
        <v>194</v>
      </c>
      <c r="B190" t="s">
        <v>21</v>
      </c>
      <c r="C190" t="s">
        <v>16</v>
      </c>
      <c r="D190" t="s">
        <v>22</v>
      </c>
      <c r="E190">
        <v>1647</v>
      </c>
      <c r="F190" t="s">
        <v>18</v>
      </c>
      <c r="G190">
        <v>70</v>
      </c>
      <c r="H190">
        <v>425.98</v>
      </c>
      <c r="I190">
        <v>40</v>
      </c>
      <c r="J190">
        <f t="shared" si="2"/>
        <v>17039.2</v>
      </c>
    </row>
    <row r="191" spans="1:10" x14ac:dyDescent="0.35">
      <c r="A191">
        <v>195</v>
      </c>
      <c r="B191" t="s">
        <v>21</v>
      </c>
      <c r="C191" t="s">
        <v>23</v>
      </c>
      <c r="D191" t="s">
        <v>24</v>
      </c>
      <c r="E191">
        <v>3900</v>
      </c>
      <c r="F191" t="s">
        <v>10</v>
      </c>
      <c r="G191">
        <v>3</v>
      </c>
      <c r="H191">
        <v>6803.82</v>
      </c>
      <c r="I191">
        <v>115</v>
      </c>
      <c r="J191">
        <f t="shared" si="2"/>
        <v>782439.29999999993</v>
      </c>
    </row>
    <row r="192" spans="1:10" x14ac:dyDescent="0.35">
      <c r="A192">
        <v>196</v>
      </c>
      <c r="B192" t="s">
        <v>21</v>
      </c>
      <c r="C192" t="s">
        <v>16</v>
      </c>
      <c r="D192" t="s">
        <v>23</v>
      </c>
      <c r="E192">
        <v>1891</v>
      </c>
      <c r="F192" t="s">
        <v>18</v>
      </c>
      <c r="G192">
        <v>76</v>
      </c>
      <c r="H192">
        <v>2026.24</v>
      </c>
      <c r="I192">
        <v>95</v>
      </c>
      <c r="J192">
        <f t="shared" si="2"/>
        <v>192492.79999999999</v>
      </c>
    </row>
    <row r="193" spans="1:10" x14ac:dyDescent="0.35">
      <c r="A193">
        <v>230</v>
      </c>
      <c r="B193" t="s">
        <v>21</v>
      </c>
      <c r="C193" t="s">
        <v>22</v>
      </c>
      <c r="D193" t="s">
        <v>17</v>
      </c>
      <c r="E193">
        <v>376</v>
      </c>
      <c r="F193" t="s">
        <v>14</v>
      </c>
      <c r="G193">
        <v>48</v>
      </c>
      <c r="H193">
        <v>160.57</v>
      </c>
      <c r="I193">
        <v>9</v>
      </c>
      <c r="J193">
        <f t="shared" si="2"/>
        <v>1445.1299999999999</v>
      </c>
    </row>
    <row r="194" spans="1:10" x14ac:dyDescent="0.35">
      <c r="A194">
        <v>231</v>
      </c>
      <c r="B194" t="s">
        <v>21</v>
      </c>
      <c r="C194" t="s">
        <v>20</v>
      </c>
      <c r="D194" t="s">
        <v>8</v>
      </c>
      <c r="E194">
        <v>11153</v>
      </c>
      <c r="F194" t="s">
        <v>18</v>
      </c>
      <c r="G194">
        <v>1</v>
      </c>
      <c r="H194">
        <v>1204.97</v>
      </c>
      <c r="I194">
        <v>36</v>
      </c>
      <c r="J194">
        <f t="shared" si="2"/>
        <v>43378.92</v>
      </c>
    </row>
    <row r="195" spans="1:10" x14ac:dyDescent="0.35">
      <c r="A195">
        <v>246</v>
      </c>
      <c r="B195" t="s">
        <v>21</v>
      </c>
      <c r="C195" t="s">
        <v>24</v>
      </c>
      <c r="D195" t="s">
        <v>9</v>
      </c>
      <c r="E195">
        <v>2389</v>
      </c>
      <c r="F195" t="s">
        <v>18</v>
      </c>
      <c r="G195">
        <v>33</v>
      </c>
      <c r="H195">
        <v>804.6</v>
      </c>
      <c r="I195">
        <v>95</v>
      </c>
      <c r="J195">
        <f t="shared" ref="J195:J251" si="3">H195*I195</f>
        <v>76437</v>
      </c>
    </row>
    <row r="196" spans="1:10" x14ac:dyDescent="0.35">
      <c r="A196">
        <v>10</v>
      </c>
      <c r="B196" t="s">
        <v>28</v>
      </c>
      <c r="C196" t="s">
        <v>23</v>
      </c>
      <c r="D196" t="s">
        <v>13</v>
      </c>
      <c r="E196">
        <v>3760</v>
      </c>
      <c r="F196" t="s">
        <v>18</v>
      </c>
      <c r="G196">
        <v>36</v>
      </c>
      <c r="H196">
        <v>916.82</v>
      </c>
      <c r="I196">
        <v>184</v>
      </c>
      <c r="J196">
        <f t="shared" si="3"/>
        <v>168694.88</v>
      </c>
    </row>
    <row r="197" spans="1:10" x14ac:dyDescent="0.35">
      <c r="A197">
        <v>13</v>
      </c>
      <c r="B197" t="s">
        <v>28</v>
      </c>
      <c r="C197" t="s">
        <v>8</v>
      </c>
      <c r="D197" t="s">
        <v>9</v>
      </c>
      <c r="E197">
        <v>2049</v>
      </c>
      <c r="F197" t="s">
        <v>14</v>
      </c>
      <c r="G197">
        <v>72</v>
      </c>
      <c r="H197">
        <v>869.1</v>
      </c>
      <c r="I197">
        <v>150</v>
      </c>
      <c r="J197">
        <f t="shared" si="3"/>
        <v>130365</v>
      </c>
    </row>
    <row r="198" spans="1:10" x14ac:dyDescent="0.35">
      <c r="A198">
        <v>36</v>
      </c>
      <c r="B198" t="s">
        <v>28</v>
      </c>
      <c r="C198" t="s">
        <v>22</v>
      </c>
      <c r="D198" t="s">
        <v>12</v>
      </c>
      <c r="E198">
        <v>2695</v>
      </c>
      <c r="F198" t="s">
        <v>10</v>
      </c>
      <c r="G198">
        <v>55</v>
      </c>
      <c r="H198">
        <v>1495.68</v>
      </c>
      <c r="I198">
        <v>121</v>
      </c>
      <c r="J198">
        <f t="shared" si="3"/>
        <v>180977.28</v>
      </c>
    </row>
    <row r="199" spans="1:10" x14ac:dyDescent="0.35">
      <c r="A199">
        <v>43</v>
      </c>
      <c r="B199" t="s">
        <v>28</v>
      </c>
      <c r="C199" t="s">
        <v>8</v>
      </c>
      <c r="D199" t="s">
        <v>12</v>
      </c>
      <c r="E199">
        <v>10486</v>
      </c>
      <c r="F199" t="s">
        <v>18</v>
      </c>
      <c r="G199">
        <v>95</v>
      </c>
      <c r="H199">
        <v>1775.34</v>
      </c>
      <c r="I199">
        <v>23</v>
      </c>
      <c r="J199">
        <f t="shared" si="3"/>
        <v>40832.82</v>
      </c>
    </row>
    <row r="200" spans="1:10" x14ac:dyDescent="0.35">
      <c r="A200">
        <v>62</v>
      </c>
      <c r="B200" t="s">
        <v>28</v>
      </c>
      <c r="C200" t="s">
        <v>20</v>
      </c>
      <c r="D200" t="s">
        <v>16</v>
      </c>
      <c r="E200">
        <v>4101</v>
      </c>
      <c r="F200" t="s">
        <v>18</v>
      </c>
      <c r="G200">
        <v>18</v>
      </c>
      <c r="H200">
        <v>1825.15</v>
      </c>
      <c r="I200">
        <v>89</v>
      </c>
      <c r="J200">
        <f t="shared" si="3"/>
        <v>162438.35</v>
      </c>
    </row>
    <row r="201" spans="1:10" x14ac:dyDescent="0.35">
      <c r="A201">
        <v>73</v>
      </c>
      <c r="B201" t="s">
        <v>28</v>
      </c>
      <c r="C201" t="s">
        <v>13</v>
      </c>
      <c r="D201" t="s">
        <v>20</v>
      </c>
      <c r="E201">
        <v>3101</v>
      </c>
      <c r="F201" t="s">
        <v>18</v>
      </c>
      <c r="G201">
        <v>64</v>
      </c>
      <c r="H201">
        <v>2247.61</v>
      </c>
      <c r="I201">
        <v>195</v>
      </c>
      <c r="J201">
        <f t="shared" si="3"/>
        <v>438283.95</v>
      </c>
    </row>
    <row r="202" spans="1:10" x14ac:dyDescent="0.35">
      <c r="A202">
        <v>76</v>
      </c>
      <c r="B202" t="s">
        <v>28</v>
      </c>
      <c r="C202" t="s">
        <v>22</v>
      </c>
      <c r="D202" t="s">
        <v>20</v>
      </c>
      <c r="E202">
        <v>1621</v>
      </c>
      <c r="F202" t="s">
        <v>10</v>
      </c>
      <c r="G202">
        <v>60</v>
      </c>
      <c r="H202">
        <v>1374.01</v>
      </c>
      <c r="I202">
        <v>182</v>
      </c>
      <c r="J202">
        <f t="shared" si="3"/>
        <v>250069.82</v>
      </c>
    </row>
    <row r="203" spans="1:10" x14ac:dyDescent="0.35">
      <c r="A203">
        <v>96</v>
      </c>
      <c r="B203" t="s">
        <v>28</v>
      </c>
      <c r="C203" t="s">
        <v>9</v>
      </c>
      <c r="D203" t="s">
        <v>24</v>
      </c>
      <c r="E203">
        <v>2607</v>
      </c>
      <c r="F203" t="s">
        <v>10</v>
      </c>
      <c r="G203">
        <v>73</v>
      </c>
      <c r="H203">
        <v>1537.27</v>
      </c>
      <c r="I203">
        <v>176</v>
      </c>
      <c r="J203">
        <f t="shared" si="3"/>
        <v>270559.52</v>
      </c>
    </row>
    <row r="204" spans="1:10" x14ac:dyDescent="0.35">
      <c r="A204">
        <v>107</v>
      </c>
      <c r="B204" t="s">
        <v>28</v>
      </c>
      <c r="C204" t="s">
        <v>13</v>
      </c>
      <c r="D204" t="s">
        <v>12</v>
      </c>
      <c r="E204">
        <v>7532</v>
      </c>
      <c r="F204" t="s">
        <v>10</v>
      </c>
      <c r="G204">
        <v>68</v>
      </c>
      <c r="H204">
        <v>278.66000000000003</v>
      </c>
      <c r="I204">
        <v>125</v>
      </c>
      <c r="J204">
        <f t="shared" si="3"/>
        <v>34832.5</v>
      </c>
    </row>
    <row r="205" spans="1:10" x14ac:dyDescent="0.35">
      <c r="A205">
        <v>108</v>
      </c>
      <c r="B205" t="s">
        <v>28</v>
      </c>
      <c r="C205" t="s">
        <v>20</v>
      </c>
      <c r="D205" t="s">
        <v>22</v>
      </c>
      <c r="E205">
        <v>3314</v>
      </c>
      <c r="F205" t="s">
        <v>14</v>
      </c>
      <c r="G205">
        <v>47</v>
      </c>
      <c r="H205">
        <v>1414.68</v>
      </c>
      <c r="I205">
        <v>127</v>
      </c>
      <c r="J205">
        <f t="shared" si="3"/>
        <v>179664.36000000002</v>
      </c>
    </row>
    <row r="206" spans="1:10" x14ac:dyDescent="0.35">
      <c r="A206">
        <v>121</v>
      </c>
      <c r="B206" t="s">
        <v>28</v>
      </c>
      <c r="C206" t="s">
        <v>20</v>
      </c>
      <c r="D206" t="s">
        <v>23</v>
      </c>
      <c r="E206">
        <v>2060</v>
      </c>
      <c r="F206" t="s">
        <v>14</v>
      </c>
      <c r="G206">
        <v>76</v>
      </c>
      <c r="H206">
        <v>293.77</v>
      </c>
      <c r="I206">
        <v>200</v>
      </c>
      <c r="J206">
        <f t="shared" si="3"/>
        <v>58754</v>
      </c>
    </row>
    <row r="207" spans="1:10" x14ac:dyDescent="0.35">
      <c r="A207">
        <v>129</v>
      </c>
      <c r="B207" t="s">
        <v>28</v>
      </c>
      <c r="C207" t="s">
        <v>17</v>
      </c>
      <c r="D207" t="s">
        <v>16</v>
      </c>
      <c r="E207">
        <v>7895</v>
      </c>
      <c r="F207" t="s">
        <v>14</v>
      </c>
      <c r="G207">
        <v>83</v>
      </c>
      <c r="H207">
        <v>547.91</v>
      </c>
      <c r="I207">
        <v>109</v>
      </c>
      <c r="J207">
        <f t="shared" si="3"/>
        <v>59722.189999999995</v>
      </c>
    </row>
    <row r="208" spans="1:10" x14ac:dyDescent="0.35">
      <c r="A208">
        <v>131</v>
      </c>
      <c r="B208" t="s">
        <v>28</v>
      </c>
      <c r="C208" t="s">
        <v>16</v>
      </c>
      <c r="D208" t="s">
        <v>17</v>
      </c>
      <c r="E208">
        <v>9975</v>
      </c>
      <c r="F208" t="s">
        <v>14</v>
      </c>
      <c r="G208">
        <v>108</v>
      </c>
      <c r="H208">
        <v>248.52</v>
      </c>
      <c r="I208">
        <v>67</v>
      </c>
      <c r="J208">
        <f t="shared" si="3"/>
        <v>16650.84</v>
      </c>
    </row>
    <row r="209" spans="1:10" x14ac:dyDescent="0.35">
      <c r="A209">
        <v>139</v>
      </c>
      <c r="B209" t="s">
        <v>28</v>
      </c>
      <c r="C209" t="s">
        <v>23</v>
      </c>
      <c r="D209" t="s">
        <v>9</v>
      </c>
      <c r="E209">
        <v>7324</v>
      </c>
      <c r="F209" t="s">
        <v>10</v>
      </c>
      <c r="G209">
        <v>71</v>
      </c>
      <c r="H209">
        <v>1268.99</v>
      </c>
      <c r="I209">
        <v>182</v>
      </c>
      <c r="J209">
        <f t="shared" si="3"/>
        <v>230956.18</v>
      </c>
    </row>
    <row r="210" spans="1:10" x14ac:dyDescent="0.35">
      <c r="A210">
        <v>178</v>
      </c>
      <c r="B210" t="s">
        <v>28</v>
      </c>
      <c r="C210" t="s">
        <v>22</v>
      </c>
      <c r="D210" t="s">
        <v>8</v>
      </c>
      <c r="E210">
        <v>6188</v>
      </c>
      <c r="F210" t="s">
        <v>18</v>
      </c>
      <c r="G210">
        <v>78</v>
      </c>
      <c r="H210">
        <v>361.61</v>
      </c>
      <c r="I210">
        <v>121</v>
      </c>
      <c r="J210">
        <f t="shared" si="3"/>
        <v>43754.810000000005</v>
      </c>
    </row>
    <row r="211" spans="1:10" x14ac:dyDescent="0.35">
      <c r="A211">
        <v>180</v>
      </c>
      <c r="B211" t="s">
        <v>28</v>
      </c>
      <c r="C211" t="s">
        <v>12</v>
      </c>
      <c r="D211" t="s">
        <v>13</v>
      </c>
      <c r="E211">
        <v>695</v>
      </c>
      <c r="F211" t="s">
        <v>18</v>
      </c>
      <c r="G211">
        <v>75</v>
      </c>
      <c r="H211">
        <v>2472.36</v>
      </c>
      <c r="I211">
        <v>29</v>
      </c>
      <c r="J211">
        <f t="shared" si="3"/>
        <v>71698.44</v>
      </c>
    </row>
    <row r="212" spans="1:10" x14ac:dyDescent="0.35">
      <c r="A212">
        <v>181</v>
      </c>
      <c r="B212" t="s">
        <v>28</v>
      </c>
      <c r="C212" t="s">
        <v>20</v>
      </c>
      <c r="D212" t="s">
        <v>24</v>
      </c>
      <c r="E212">
        <v>8149</v>
      </c>
      <c r="F212" t="s">
        <v>10</v>
      </c>
      <c r="G212">
        <v>105</v>
      </c>
      <c r="H212">
        <v>1226.6300000000001</v>
      </c>
      <c r="I212">
        <v>148</v>
      </c>
      <c r="J212">
        <f t="shared" si="3"/>
        <v>181541.24000000002</v>
      </c>
    </row>
    <row r="213" spans="1:10" x14ac:dyDescent="0.35">
      <c r="A213">
        <v>186</v>
      </c>
      <c r="B213" t="s">
        <v>28</v>
      </c>
      <c r="C213" t="s">
        <v>13</v>
      </c>
      <c r="D213" t="s">
        <v>17</v>
      </c>
      <c r="E213">
        <v>2829</v>
      </c>
      <c r="F213" t="s">
        <v>14</v>
      </c>
      <c r="G213">
        <v>117</v>
      </c>
      <c r="H213">
        <v>1494.54</v>
      </c>
      <c r="I213">
        <v>73</v>
      </c>
      <c r="J213">
        <f t="shared" si="3"/>
        <v>109101.42</v>
      </c>
    </row>
    <row r="214" spans="1:10" x14ac:dyDescent="0.35">
      <c r="A214">
        <v>198</v>
      </c>
      <c r="B214" t="s">
        <v>28</v>
      </c>
      <c r="C214" t="s">
        <v>20</v>
      </c>
      <c r="D214" t="s">
        <v>17</v>
      </c>
      <c r="E214">
        <v>8465</v>
      </c>
      <c r="F214" t="s">
        <v>10</v>
      </c>
      <c r="G214">
        <v>13</v>
      </c>
      <c r="H214">
        <v>1616.61</v>
      </c>
      <c r="I214">
        <v>34</v>
      </c>
      <c r="J214">
        <f t="shared" si="3"/>
        <v>54964.74</v>
      </c>
    </row>
    <row r="215" spans="1:10" x14ac:dyDescent="0.35">
      <c r="A215">
        <v>201</v>
      </c>
      <c r="B215" t="s">
        <v>28</v>
      </c>
      <c r="C215" t="s">
        <v>17</v>
      </c>
      <c r="D215" t="s">
        <v>23</v>
      </c>
      <c r="E215">
        <v>11551</v>
      </c>
      <c r="F215" t="s">
        <v>10</v>
      </c>
      <c r="G215">
        <v>109</v>
      </c>
      <c r="H215">
        <v>2040.9</v>
      </c>
      <c r="I215">
        <v>167</v>
      </c>
      <c r="J215">
        <f t="shared" si="3"/>
        <v>340830.3</v>
      </c>
    </row>
    <row r="216" spans="1:10" x14ac:dyDescent="0.35">
      <c r="A216">
        <v>206</v>
      </c>
      <c r="B216" t="s">
        <v>28</v>
      </c>
      <c r="C216" t="s">
        <v>17</v>
      </c>
      <c r="D216" t="s">
        <v>8</v>
      </c>
      <c r="E216">
        <v>1531</v>
      </c>
      <c r="F216" t="s">
        <v>14</v>
      </c>
      <c r="G216">
        <v>102</v>
      </c>
      <c r="H216">
        <v>1615.37</v>
      </c>
      <c r="I216">
        <v>23</v>
      </c>
      <c r="J216">
        <f t="shared" si="3"/>
        <v>37153.509999999995</v>
      </c>
    </row>
    <row r="217" spans="1:10" x14ac:dyDescent="0.35">
      <c r="A217">
        <v>212</v>
      </c>
      <c r="B217" t="s">
        <v>28</v>
      </c>
      <c r="C217" t="s">
        <v>17</v>
      </c>
      <c r="D217" t="s">
        <v>8</v>
      </c>
      <c r="E217">
        <v>3843</v>
      </c>
      <c r="F217" t="s">
        <v>18</v>
      </c>
      <c r="G217">
        <v>81</v>
      </c>
      <c r="H217">
        <v>4174.01</v>
      </c>
      <c r="I217">
        <v>166</v>
      </c>
      <c r="J217">
        <f t="shared" si="3"/>
        <v>692885.66</v>
      </c>
    </row>
    <row r="218" spans="1:10" x14ac:dyDescent="0.35">
      <c r="A218">
        <v>214</v>
      </c>
      <c r="B218" t="s">
        <v>28</v>
      </c>
      <c r="C218" t="s">
        <v>12</v>
      </c>
      <c r="D218" t="s">
        <v>24</v>
      </c>
      <c r="E218">
        <v>6704</v>
      </c>
      <c r="F218" t="s">
        <v>14</v>
      </c>
      <c r="G218">
        <v>64</v>
      </c>
      <c r="H218">
        <v>1066.93</v>
      </c>
      <c r="I218">
        <v>41</v>
      </c>
      <c r="J218">
        <f t="shared" si="3"/>
        <v>43744.130000000005</v>
      </c>
    </row>
    <row r="219" spans="1:10" x14ac:dyDescent="0.35">
      <c r="A219">
        <v>228</v>
      </c>
      <c r="B219" t="s">
        <v>28</v>
      </c>
      <c r="C219" t="s">
        <v>13</v>
      </c>
      <c r="D219" t="s">
        <v>17</v>
      </c>
      <c r="E219">
        <v>9316</v>
      </c>
      <c r="F219" t="s">
        <v>10</v>
      </c>
      <c r="G219">
        <v>60</v>
      </c>
      <c r="H219">
        <v>2392.27</v>
      </c>
      <c r="I219">
        <v>30</v>
      </c>
      <c r="J219">
        <f t="shared" si="3"/>
        <v>71768.100000000006</v>
      </c>
    </row>
    <row r="220" spans="1:10" x14ac:dyDescent="0.35">
      <c r="A220">
        <v>239</v>
      </c>
      <c r="B220" t="s">
        <v>28</v>
      </c>
      <c r="C220" t="s">
        <v>8</v>
      </c>
      <c r="D220" t="s">
        <v>17</v>
      </c>
      <c r="E220">
        <v>10724</v>
      </c>
      <c r="F220" t="s">
        <v>18</v>
      </c>
      <c r="G220">
        <v>31</v>
      </c>
      <c r="H220">
        <v>6845.55</v>
      </c>
      <c r="I220">
        <v>56</v>
      </c>
      <c r="J220">
        <f t="shared" si="3"/>
        <v>383350.8</v>
      </c>
    </row>
    <row r="221" spans="1:10" x14ac:dyDescent="0.35">
      <c r="A221">
        <v>244</v>
      </c>
      <c r="B221" t="s">
        <v>28</v>
      </c>
      <c r="C221" t="s">
        <v>20</v>
      </c>
      <c r="D221" t="s">
        <v>17</v>
      </c>
      <c r="E221">
        <v>7406</v>
      </c>
      <c r="F221" t="s">
        <v>14</v>
      </c>
      <c r="G221">
        <v>34</v>
      </c>
      <c r="H221">
        <v>1073.3599999999999</v>
      </c>
      <c r="I221">
        <v>87</v>
      </c>
      <c r="J221">
        <f t="shared" si="3"/>
        <v>93382.319999999992</v>
      </c>
    </row>
    <row r="222" spans="1:10" x14ac:dyDescent="0.35">
      <c r="A222">
        <v>6</v>
      </c>
      <c r="B222" t="s">
        <v>30</v>
      </c>
      <c r="C222" t="s">
        <v>8</v>
      </c>
      <c r="D222" t="s">
        <v>12</v>
      </c>
      <c r="E222">
        <v>9382</v>
      </c>
      <c r="F222" t="s">
        <v>18</v>
      </c>
      <c r="G222">
        <v>19</v>
      </c>
      <c r="H222">
        <v>372.85</v>
      </c>
      <c r="I222">
        <v>96</v>
      </c>
      <c r="J222">
        <f t="shared" si="3"/>
        <v>35793.600000000006</v>
      </c>
    </row>
    <row r="223" spans="1:10" x14ac:dyDescent="0.35">
      <c r="A223">
        <v>8</v>
      </c>
      <c r="B223" t="s">
        <v>30</v>
      </c>
      <c r="C223" t="s">
        <v>12</v>
      </c>
      <c r="D223" t="s">
        <v>22</v>
      </c>
      <c r="E223">
        <v>6122</v>
      </c>
      <c r="F223" t="s">
        <v>18</v>
      </c>
      <c r="G223">
        <v>88</v>
      </c>
      <c r="H223">
        <v>1120.52</v>
      </c>
      <c r="I223">
        <v>16</v>
      </c>
      <c r="J223">
        <f t="shared" si="3"/>
        <v>17928.32</v>
      </c>
    </row>
    <row r="224" spans="1:10" x14ac:dyDescent="0.35">
      <c r="A224">
        <v>17</v>
      </c>
      <c r="B224" t="s">
        <v>30</v>
      </c>
      <c r="C224" t="s">
        <v>23</v>
      </c>
      <c r="D224" t="s">
        <v>8</v>
      </c>
      <c r="E224">
        <v>5573</v>
      </c>
      <c r="F224" t="s">
        <v>14</v>
      </c>
      <c r="G224">
        <v>82</v>
      </c>
      <c r="H224">
        <v>1298.3699999999999</v>
      </c>
      <c r="I224">
        <v>103</v>
      </c>
      <c r="J224">
        <f t="shared" si="3"/>
        <v>133732.10999999999</v>
      </c>
    </row>
    <row r="225" spans="1:10" x14ac:dyDescent="0.35">
      <c r="A225">
        <v>53</v>
      </c>
      <c r="B225" t="s">
        <v>30</v>
      </c>
      <c r="C225" t="s">
        <v>13</v>
      </c>
      <c r="D225" t="s">
        <v>12</v>
      </c>
      <c r="E225">
        <v>5677</v>
      </c>
      <c r="F225" t="s">
        <v>10</v>
      </c>
      <c r="G225">
        <v>76</v>
      </c>
      <c r="H225">
        <v>1501.05</v>
      </c>
      <c r="I225">
        <v>109</v>
      </c>
      <c r="J225">
        <f t="shared" si="3"/>
        <v>163614.44999999998</v>
      </c>
    </row>
    <row r="226" spans="1:10" x14ac:dyDescent="0.35">
      <c r="A226">
        <v>54</v>
      </c>
      <c r="B226" t="s">
        <v>30</v>
      </c>
      <c r="C226" t="s">
        <v>9</v>
      </c>
      <c r="D226" t="s">
        <v>24</v>
      </c>
      <c r="E226">
        <v>11328</v>
      </c>
      <c r="F226" t="s">
        <v>14</v>
      </c>
      <c r="G226">
        <v>80</v>
      </c>
      <c r="H226">
        <v>6071.56</v>
      </c>
      <c r="I226">
        <v>11</v>
      </c>
      <c r="J226">
        <f t="shared" si="3"/>
        <v>66787.16</v>
      </c>
    </row>
    <row r="227" spans="1:10" x14ac:dyDescent="0.35">
      <c r="A227">
        <v>56</v>
      </c>
      <c r="B227" t="s">
        <v>30</v>
      </c>
      <c r="C227" t="s">
        <v>9</v>
      </c>
      <c r="D227" t="s">
        <v>23</v>
      </c>
      <c r="E227">
        <v>9950</v>
      </c>
      <c r="F227" t="s">
        <v>10</v>
      </c>
      <c r="G227">
        <v>66</v>
      </c>
      <c r="H227">
        <v>1005.86</v>
      </c>
      <c r="I227">
        <v>122</v>
      </c>
      <c r="J227">
        <f t="shared" si="3"/>
        <v>122714.92</v>
      </c>
    </row>
    <row r="228" spans="1:10" x14ac:dyDescent="0.35">
      <c r="A228">
        <v>66</v>
      </c>
      <c r="B228" t="s">
        <v>30</v>
      </c>
      <c r="C228" t="s">
        <v>16</v>
      </c>
      <c r="D228" t="s">
        <v>17</v>
      </c>
      <c r="E228">
        <v>718</v>
      </c>
      <c r="F228" t="s">
        <v>10</v>
      </c>
      <c r="G228">
        <v>72</v>
      </c>
      <c r="H228">
        <v>968.12</v>
      </c>
      <c r="I228">
        <v>59</v>
      </c>
      <c r="J228">
        <f t="shared" si="3"/>
        <v>57119.08</v>
      </c>
    </row>
    <row r="229" spans="1:10" x14ac:dyDescent="0.35">
      <c r="A229">
        <v>69</v>
      </c>
      <c r="B229" t="s">
        <v>30</v>
      </c>
      <c r="C229" t="s">
        <v>16</v>
      </c>
      <c r="D229" t="s">
        <v>20</v>
      </c>
      <c r="E229">
        <v>931</v>
      </c>
      <c r="F229" t="s">
        <v>18</v>
      </c>
      <c r="G229">
        <v>6</v>
      </c>
      <c r="H229">
        <v>1315.64</v>
      </c>
      <c r="I229">
        <v>152</v>
      </c>
      <c r="J229">
        <f t="shared" si="3"/>
        <v>199977.28000000003</v>
      </c>
    </row>
    <row r="230" spans="1:10" x14ac:dyDescent="0.35">
      <c r="A230">
        <v>85</v>
      </c>
      <c r="B230" t="s">
        <v>30</v>
      </c>
      <c r="C230" t="s">
        <v>9</v>
      </c>
      <c r="D230" t="s">
        <v>24</v>
      </c>
      <c r="E230">
        <v>10287</v>
      </c>
      <c r="F230" t="s">
        <v>14</v>
      </c>
      <c r="G230">
        <v>112</v>
      </c>
      <c r="H230">
        <v>2854.75</v>
      </c>
      <c r="I230">
        <v>94</v>
      </c>
      <c r="J230">
        <f t="shared" si="3"/>
        <v>268346.5</v>
      </c>
    </row>
    <row r="231" spans="1:10" x14ac:dyDescent="0.35">
      <c r="A231">
        <v>104</v>
      </c>
      <c r="B231" t="s">
        <v>30</v>
      </c>
      <c r="C231" t="s">
        <v>8</v>
      </c>
      <c r="D231" t="s">
        <v>9</v>
      </c>
      <c r="E231">
        <v>3857</v>
      </c>
      <c r="F231" t="s">
        <v>14</v>
      </c>
      <c r="G231">
        <v>60</v>
      </c>
      <c r="H231">
        <v>281.79000000000002</v>
      </c>
      <c r="I231">
        <v>155</v>
      </c>
      <c r="J231">
        <f t="shared" si="3"/>
        <v>43677.450000000004</v>
      </c>
    </row>
    <row r="232" spans="1:10" x14ac:dyDescent="0.35">
      <c r="A232">
        <v>115</v>
      </c>
      <c r="B232" t="s">
        <v>30</v>
      </c>
      <c r="C232" t="s">
        <v>22</v>
      </c>
      <c r="D232" t="s">
        <v>24</v>
      </c>
      <c r="E232">
        <v>10409</v>
      </c>
      <c r="F232" t="s">
        <v>18</v>
      </c>
      <c r="G232">
        <v>75</v>
      </c>
      <c r="H232">
        <v>8852.69</v>
      </c>
      <c r="I232">
        <v>121</v>
      </c>
      <c r="J232">
        <f t="shared" si="3"/>
        <v>1071175.49</v>
      </c>
    </row>
    <row r="233" spans="1:10" x14ac:dyDescent="0.35">
      <c r="A233">
        <v>119</v>
      </c>
      <c r="B233" t="s">
        <v>30</v>
      </c>
      <c r="C233" t="s">
        <v>13</v>
      </c>
      <c r="D233" t="s">
        <v>24</v>
      </c>
      <c r="E233">
        <v>2974</v>
      </c>
      <c r="F233" t="s">
        <v>10</v>
      </c>
      <c r="G233">
        <v>117</v>
      </c>
      <c r="H233">
        <v>1091.1199999999999</v>
      </c>
      <c r="I233">
        <v>117</v>
      </c>
      <c r="J233">
        <f t="shared" si="3"/>
        <v>127661.04</v>
      </c>
    </row>
    <row r="234" spans="1:10" x14ac:dyDescent="0.35">
      <c r="A234">
        <v>123</v>
      </c>
      <c r="B234" t="s">
        <v>30</v>
      </c>
      <c r="C234" t="s">
        <v>17</v>
      </c>
      <c r="D234" t="s">
        <v>9</v>
      </c>
      <c r="E234">
        <v>7345</v>
      </c>
      <c r="F234" t="s">
        <v>10</v>
      </c>
      <c r="G234">
        <v>86</v>
      </c>
      <c r="H234">
        <v>1610.66</v>
      </c>
      <c r="I234">
        <v>176</v>
      </c>
      <c r="J234">
        <f t="shared" si="3"/>
        <v>283476.16000000003</v>
      </c>
    </row>
    <row r="235" spans="1:10" x14ac:dyDescent="0.35">
      <c r="A235">
        <v>144</v>
      </c>
      <c r="B235" t="s">
        <v>30</v>
      </c>
      <c r="C235" t="s">
        <v>22</v>
      </c>
      <c r="D235" t="s">
        <v>13</v>
      </c>
      <c r="E235">
        <v>11773</v>
      </c>
      <c r="F235" t="s">
        <v>14</v>
      </c>
      <c r="G235">
        <v>56</v>
      </c>
      <c r="H235">
        <v>1594.79</v>
      </c>
      <c r="I235">
        <v>179</v>
      </c>
      <c r="J235">
        <f t="shared" si="3"/>
        <v>285467.40999999997</v>
      </c>
    </row>
    <row r="236" spans="1:10" x14ac:dyDescent="0.35">
      <c r="A236">
        <v>148</v>
      </c>
      <c r="B236" t="s">
        <v>30</v>
      </c>
      <c r="C236" t="s">
        <v>16</v>
      </c>
      <c r="D236" t="s">
        <v>17</v>
      </c>
      <c r="E236">
        <v>7661</v>
      </c>
      <c r="F236" t="s">
        <v>10</v>
      </c>
      <c r="G236">
        <v>71</v>
      </c>
      <c r="H236">
        <v>2398.7800000000002</v>
      </c>
      <c r="I236">
        <v>121</v>
      </c>
      <c r="J236">
        <f t="shared" si="3"/>
        <v>290252.38</v>
      </c>
    </row>
    <row r="237" spans="1:10" x14ac:dyDescent="0.35">
      <c r="A237">
        <v>153</v>
      </c>
      <c r="B237" t="s">
        <v>30</v>
      </c>
      <c r="C237" t="s">
        <v>17</v>
      </c>
      <c r="D237" t="s">
        <v>8</v>
      </c>
      <c r="E237">
        <v>1548</v>
      </c>
      <c r="F237" t="s">
        <v>18</v>
      </c>
      <c r="G237">
        <v>50</v>
      </c>
      <c r="H237">
        <v>2322.56</v>
      </c>
      <c r="I237">
        <v>192</v>
      </c>
      <c r="J237">
        <f t="shared" si="3"/>
        <v>445931.52000000002</v>
      </c>
    </row>
    <row r="238" spans="1:10" x14ac:dyDescent="0.35">
      <c r="A238">
        <v>157</v>
      </c>
      <c r="B238" t="s">
        <v>30</v>
      </c>
      <c r="C238" t="s">
        <v>9</v>
      </c>
      <c r="D238" t="s">
        <v>12</v>
      </c>
      <c r="E238">
        <v>6948</v>
      </c>
      <c r="F238" t="s">
        <v>18</v>
      </c>
      <c r="G238">
        <v>52</v>
      </c>
      <c r="H238">
        <v>1783.66</v>
      </c>
      <c r="I238">
        <v>142</v>
      </c>
      <c r="J238">
        <f t="shared" si="3"/>
        <v>253279.72</v>
      </c>
    </row>
    <row r="239" spans="1:10" x14ac:dyDescent="0.35">
      <c r="A239">
        <v>177</v>
      </c>
      <c r="B239" t="s">
        <v>30</v>
      </c>
      <c r="C239" t="s">
        <v>13</v>
      </c>
      <c r="D239" t="s">
        <v>22</v>
      </c>
      <c r="E239">
        <v>336</v>
      </c>
      <c r="F239" t="s">
        <v>18</v>
      </c>
      <c r="G239">
        <v>45</v>
      </c>
      <c r="H239">
        <v>562.73</v>
      </c>
      <c r="I239">
        <v>146</v>
      </c>
      <c r="J239">
        <f t="shared" si="3"/>
        <v>82158.58</v>
      </c>
    </row>
    <row r="240" spans="1:10" x14ac:dyDescent="0.35">
      <c r="A240">
        <v>183</v>
      </c>
      <c r="B240" t="s">
        <v>30</v>
      </c>
      <c r="C240" t="s">
        <v>12</v>
      </c>
      <c r="D240" t="s">
        <v>8</v>
      </c>
      <c r="E240">
        <v>11903</v>
      </c>
      <c r="F240" t="s">
        <v>10</v>
      </c>
      <c r="G240">
        <v>41</v>
      </c>
      <c r="H240">
        <v>6895.45</v>
      </c>
      <c r="I240">
        <v>152</v>
      </c>
      <c r="J240">
        <f t="shared" si="3"/>
        <v>1048108.4</v>
      </c>
    </row>
    <row r="241" spans="1:10" x14ac:dyDescent="0.35">
      <c r="A241">
        <v>187</v>
      </c>
      <c r="B241" t="s">
        <v>30</v>
      </c>
      <c r="C241" t="s">
        <v>22</v>
      </c>
      <c r="D241" t="s">
        <v>23</v>
      </c>
      <c r="E241">
        <v>2609</v>
      </c>
      <c r="F241" t="s">
        <v>18</v>
      </c>
      <c r="G241">
        <v>31</v>
      </c>
      <c r="H241">
        <v>3467.59</v>
      </c>
      <c r="I241">
        <v>41</v>
      </c>
      <c r="J241">
        <f t="shared" si="3"/>
        <v>142171.19</v>
      </c>
    </row>
    <row r="242" spans="1:10" x14ac:dyDescent="0.35">
      <c r="A242">
        <v>211</v>
      </c>
      <c r="B242" t="s">
        <v>30</v>
      </c>
      <c r="C242" t="s">
        <v>24</v>
      </c>
      <c r="D242" t="s">
        <v>16</v>
      </c>
      <c r="E242">
        <v>3045</v>
      </c>
      <c r="F242" t="s">
        <v>18</v>
      </c>
      <c r="G242">
        <v>98</v>
      </c>
      <c r="H242">
        <v>875.76</v>
      </c>
      <c r="I242">
        <v>98</v>
      </c>
      <c r="J242">
        <f t="shared" si="3"/>
        <v>85824.48</v>
      </c>
    </row>
    <row r="243" spans="1:10" x14ac:dyDescent="0.35">
      <c r="A243">
        <v>218</v>
      </c>
      <c r="B243" t="s">
        <v>30</v>
      </c>
      <c r="C243" t="s">
        <v>17</v>
      </c>
      <c r="D243" t="s">
        <v>24</v>
      </c>
      <c r="E243">
        <v>10682</v>
      </c>
      <c r="F243" t="s">
        <v>10</v>
      </c>
      <c r="G243">
        <v>5</v>
      </c>
      <c r="H243">
        <v>1686.46</v>
      </c>
      <c r="I243">
        <v>44</v>
      </c>
      <c r="J243">
        <f t="shared" si="3"/>
        <v>74204.240000000005</v>
      </c>
    </row>
    <row r="244" spans="1:10" x14ac:dyDescent="0.35">
      <c r="A244">
        <v>221</v>
      </c>
      <c r="B244" t="s">
        <v>30</v>
      </c>
      <c r="C244" t="s">
        <v>13</v>
      </c>
      <c r="D244" t="s">
        <v>9</v>
      </c>
      <c r="E244">
        <v>636</v>
      </c>
      <c r="F244" t="s">
        <v>18</v>
      </c>
      <c r="G244">
        <v>67</v>
      </c>
      <c r="H244">
        <v>1835.17</v>
      </c>
      <c r="I244">
        <v>65</v>
      </c>
      <c r="J244">
        <f t="shared" si="3"/>
        <v>119286.05</v>
      </c>
    </row>
    <row r="245" spans="1:10" x14ac:dyDescent="0.35">
      <c r="A245">
        <v>224</v>
      </c>
      <c r="B245" t="s">
        <v>30</v>
      </c>
      <c r="C245" t="s">
        <v>22</v>
      </c>
      <c r="D245" t="s">
        <v>16</v>
      </c>
      <c r="E245">
        <v>6204</v>
      </c>
      <c r="F245" t="s">
        <v>14</v>
      </c>
      <c r="G245">
        <v>91</v>
      </c>
      <c r="H245">
        <v>2915.5</v>
      </c>
      <c r="I245">
        <v>18</v>
      </c>
      <c r="J245">
        <f t="shared" si="3"/>
        <v>52479</v>
      </c>
    </row>
    <row r="246" spans="1:10" x14ac:dyDescent="0.35">
      <c r="A246">
        <v>225</v>
      </c>
      <c r="B246" t="s">
        <v>30</v>
      </c>
      <c r="C246" t="s">
        <v>17</v>
      </c>
      <c r="D246" t="s">
        <v>9</v>
      </c>
      <c r="E246">
        <v>9699</v>
      </c>
      <c r="F246" t="s">
        <v>18</v>
      </c>
      <c r="G246">
        <v>34</v>
      </c>
      <c r="H246">
        <v>1167.8800000000001</v>
      </c>
      <c r="I246">
        <v>77</v>
      </c>
      <c r="J246">
        <f t="shared" si="3"/>
        <v>89926.760000000009</v>
      </c>
    </row>
    <row r="247" spans="1:10" x14ac:dyDescent="0.35">
      <c r="A247">
        <v>229</v>
      </c>
      <c r="B247" t="s">
        <v>30</v>
      </c>
      <c r="C247" t="s">
        <v>20</v>
      </c>
      <c r="D247" t="s">
        <v>9</v>
      </c>
      <c r="E247">
        <v>9280</v>
      </c>
      <c r="F247" t="s">
        <v>14</v>
      </c>
      <c r="G247">
        <v>61</v>
      </c>
      <c r="H247">
        <v>1513.01</v>
      </c>
      <c r="I247">
        <v>125</v>
      </c>
      <c r="J247">
        <f t="shared" si="3"/>
        <v>189126.25</v>
      </c>
    </row>
    <row r="248" spans="1:10" x14ac:dyDescent="0.35">
      <c r="A248">
        <v>232</v>
      </c>
      <c r="B248" t="s">
        <v>30</v>
      </c>
      <c r="C248" t="s">
        <v>22</v>
      </c>
      <c r="D248" t="s">
        <v>24</v>
      </c>
      <c r="E248">
        <v>4307</v>
      </c>
      <c r="F248" t="s">
        <v>14</v>
      </c>
      <c r="G248">
        <v>114</v>
      </c>
      <c r="H248">
        <v>4298.76</v>
      </c>
      <c r="I248">
        <v>132</v>
      </c>
      <c r="J248">
        <f t="shared" si="3"/>
        <v>567436.32000000007</v>
      </c>
    </row>
    <row r="249" spans="1:10" x14ac:dyDescent="0.35">
      <c r="A249">
        <v>236</v>
      </c>
      <c r="B249" t="s">
        <v>30</v>
      </c>
      <c r="C249" t="s">
        <v>8</v>
      </c>
      <c r="D249" t="s">
        <v>12</v>
      </c>
      <c r="E249">
        <v>9840</v>
      </c>
      <c r="F249" t="s">
        <v>10</v>
      </c>
      <c r="G249">
        <v>4</v>
      </c>
      <c r="H249">
        <v>3008.26</v>
      </c>
      <c r="I249">
        <v>173</v>
      </c>
      <c r="J249">
        <f t="shared" si="3"/>
        <v>520428.98000000004</v>
      </c>
    </row>
    <row r="250" spans="1:10" x14ac:dyDescent="0.35">
      <c r="A250">
        <v>240</v>
      </c>
      <c r="B250" t="s">
        <v>30</v>
      </c>
      <c r="C250" t="s">
        <v>8</v>
      </c>
      <c r="D250" t="s">
        <v>12</v>
      </c>
      <c r="E250">
        <v>6955</v>
      </c>
      <c r="F250" t="s">
        <v>14</v>
      </c>
      <c r="G250">
        <v>7</v>
      </c>
      <c r="H250">
        <v>2540.92</v>
      </c>
      <c r="I250">
        <v>197</v>
      </c>
      <c r="J250">
        <f t="shared" si="3"/>
        <v>500561.24</v>
      </c>
    </row>
    <row r="251" spans="1:10" x14ac:dyDescent="0.35">
      <c r="A251">
        <v>247</v>
      </c>
      <c r="B251" t="s">
        <v>30</v>
      </c>
      <c r="C251" t="s">
        <v>16</v>
      </c>
      <c r="D251" t="s">
        <v>9</v>
      </c>
      <c r="E251">
        <v>6941</v>
      </c>
      <c r="F251" t="s">
        <v>18</v>
      </c>
      <c r="G251">
        <v>36</v>
      </c>
      <c r="H251">
        <v>1525.2</v>
      </c>
      <c r="I251">
        <v>98</v>
      </c>
      <c r="J251">
        <f t="shared" si="3"/>
        <v>149469.6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BCD73-FF40-438B-B6A1-0EBF037B2454}">
  <dimension ref="A3:B36"/>
  <sheetViews>
    <sheetView workbookViewId="0">
      <selection activeCell="N11" sqref="N11"/>
    </sheetView>
  </sheetViews>
  <sheetFormatPr defaultRowHeight="14.5" x14ac:dyDescent="0.35"/>
  <cols>
    <col min="1" max="1" width="17.6328125" bestFit="1" customWidth="1"/>
    <col min="2" max="2" width="16.08984375" bestFit="1" customWidth="1"/>
  </cols>
  <sheetData>
    <row r="3" spans="1:2" x14ac:dyDescent="0.35">
      <c r="A3" s="1" t="s">
        <v>54</v>
      </c>
      <c r="B3" t="s">
        <v>56</v>
      </c>
    </row>
    <row r="4" spans="1:2" x14ac:dyDescent="0.35">
      <c r="A4" s="2" t="s">
        <v>58</v>
      </c>
      <c r="B4" s="4"/>
    </row>
    <row r="5" spans="1:2" x14ac:dyDescent="0.35">
      <c r="A5" s="3" t="s">
        <v>14</v>
      </c>
      <c r="B5" s="4">
        <v>727</v>
      </c>
    </row>
    <row r="6" spans="1:2" x14ac:dyDescent="0.35">
      <c r="A6" s="3" t="s">
        <v>10</v>
      </c>
      <c r="B6" s="4">
        <v>1450</v>
      </c>
    </row>
    <row r="7" spans="1:2" x14ac:dyDescent="0.35">
      <c r="A7" s="3" t="s">
        <v>18</v>
      </c>
      <c r="B7" s="4">
        <v>1257</v>
      </c>
    </row>
    <row r="8" spans="1:2" x14ac:dyDescent="0.35">
      <c r="A8" s="2" t="s">
        <v>15</v>
      </c>
      <c r="B8" s="4"/>
    </row>
    <row r="9" spans="1:2" x14ac:dyDescent="0.35">
      <c r="A9" s="3" t="s">
        <v>14</v>
      </c>
      <c r="B9" s="4">
        <v>871</v>
      </c>
    </row>
    <row r="10" spans="1:2" x14ac:dyDescent="0.35">
      <c r="A10" s="3" t="s">
        <v>10</v>
      </c>
      <c r="B10" s="4">
        <v>1530</v>
      </c>
    </row>
    <row r="11" spans="1:2" x14ac:dyDescent="0.35">
      <c r="A11" s="3" t="s">
        <v>18</v>
      </c>
      <c r="B11" s="4">
        <v>1323</v>
      </c>
    </row>
    <row r="12" spans="1:2" x14ac:dyDescent="0.35">
      <c r="A12" s="2" t="s">
        <v>19</v>
      </c>
      <c r="B12" s="4"/>
    </row>
    <row r="13" spans="1:2" x14ac:dyDescent="0.35">
      <c r="A13" s="3" t="s">
        <v>14</v>
      </c>
      <c r="B13" s="4">
        <v>520</v>
      </c>
    </row>
    <row r="14" spans="1:2" x14ac:dyDescent="0.35">
      <c r="A14" s="3" t="s">
        <v>10</v>
      </c>
      <c r="B14" s="4">
        <v>1529</v>
      </c>
    </row>
    <row r="15" spans="1:2" x14ac:dyDescent="0.35">
      <c r="A15" s="3" t="s">
        <v>18</v>
      </c>
      <c r="B15" s="4">
        <v>1011</v>
      </c>
    </row>
    <row r="16" spans="1:2" x14ac:dyDescent="0.35">
      <c r="A16" s="2" t="s">
        <v>11</v>
      </c>
      <c r="B16" s="4"/>
    </row>
    <row r="17" spans="1:2" x14ac:dyDescent="0.35">
      <c r="A17" s="3" t="s">
        <v>14</v>
      </c>
      <c r="B17" s="4">
        <v>1418</v>
      </c>
    </row>
    <row r="18" spans="1:2" x14ac:dyDescent="0.35">
      <c r="A18" s="3" t="s">
        <v>10</v>
      </c>
      <c r="B18" s="4">
        <v>394</v>
      </c>
    </row>
    <row r="19" spans="1:2" x14ac:dyDescent="0.35">
      <c r="A19" s="3" t="s">
        <v>18</v>
      </c>
      <c r="B19" s="4">
        <v>638</v>
      </c>
    </row>
    <row r="20" spans="1:2" x14ac:dyDescent="0.35">
      <c r="A20" s="2" t="s">
        <v>25</v>
      </c>
      <c r="B20" s="4"/>
    </row>
    <row r="21" spans="1:2" x14ac:dyDescent="0.35">
      <c r="A21" s="3" t="s">
        <v>14</v>
      </c>
      <c r="B21" s="4">
        <v>1000</v>
      </c>
    </row>
    <row r="22" spans="1:2" x14ac:dyDescent="0.35">
      <c r="A22" s="3" t="s">
        <v>10</v>
      </c>
      <c r="B22" s="4">
        <v>1221</v>
      </c>
    </row>
    <row r="23" spans="1:2" x14ac:dyDescent="0.35">
      <c r="A23" s="3" t="s">
        <v>18</v>
      </c>
      <c r="B23" s="4">
        <v>676</v>
      </c>
    </row>
    <row r="24" spans="1:2" x14ac:dyDescent="0.35">
      <c r="A24" s="2" t="s">
        <v>21</v>
      </c>
      <c r="B24" s="4"/>
    </row>
    <row r="25" spans="1:2" x14ac:dyDescent="0.35">
      <c r="A25" s="3" t="s">
        <v>14</v>
      </c>
      <c r="B25" s="4">
        <v>1027</v>
      </c>
    </row>
    <row r="26" spans="1:2" x14ac:dyDescent="0.35">
      <c r="A26" s="3" t="s">
        <v>10</v>
      </c>
      <c r="B26" s="4">
        <v>817</v>
      </c>
    </row>
    <row r="27" spans="1:2" x14ac:dyDescent="0.35">
      <c r="A27" s="3" t="s">
        <v>18</v>
      </c>
      <c r="B27" s="4">
        <v>1500</v>
      </c>
    </row>
    <row r="28" spans="1:2" x14ac:dyDescent="0.35">
      <c r="A28" s="2" t="s">
        <v>28</v>
      </c>
      <c r="B28" s="4"/>
    </row>
    <row r="29" spans="1:2" x14ac:dyDescent="0.35">
      <c r="A29" s="3" t="s">
        <v>14</v>
      </c>
      <c r="B29" s="4">
        <v>877</v>
      </c>
    </row>
    <row r="30" spans="1:2" x14ac:dyDescent="0.35">
      <c r="A30" s="3" t="s">
        <v>10</v>
      </c>
      <c r="B30" s="4">
        <v>1165</v>
      </c>
    </row>
    <row r="31" spans="1:2" x14ac:dyDescent="0.35">
      <c r="A31" s="3" t="s">
        <v>18</v>
      </c>
      <c r="B31" s="4">
        <v>863</v>
      </c>
    </row>
    <row r="32" spans="1:2" x14ac:dyDescent="0.35">
      <c r="A32" s="2" t="s">
        <v>30</v>
      </c>
      <c r="B32" s="4"/>
    </row>
    <row r="33" spans="1:2" x14ac:dyDescent="0.35">
      <c r="A33" s="3" t="s">
        <v>14</v>
      </c>
      <c r="B33" s="4">
        <v>1014</v>
      </c>
    </row>
    <row r="34" spans="1:2" x14ac:dyDescent="0.35">
      <c r="A34" s="3" t="s">
        <v>10</v>
      </c>
      <c r="B34" s="4">
        <v>1073</v>
      </c>
    </row>
    <row r="35" spans="1:2" x14ac:dyDescent="0.35">
      <c r="A35" s="3" t="s">
        <v>18</v>
      </c>
      <c r="B35" s="4">
        <v>1244</v>
      </c>
    </row>
    <row r="36" spans="1:2" x14ac:dyDescent="0.35">
      <c r="A36" s="2" t="s">
        <v>55</v>
      </c>
      <c r="B36" s="4">
        <v>25145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F6A3-26DD-4D1F-BA19-14DC0576F8A1}">
  <dimension ref="A3:B36"/>
  <sheetViews>
    <sheetView workbookViewId="0">
      <selection activeCell="P21" sqref="P21"/>
    </sheetView>
  </sheetViews>
  <sheetFormatPr defaultRowHeight="14.5" x14ac:dyDescent="0.35"/>
  <cols>
    <col min="1" max="1" width="17.6328125" bestFit="1" customWidth="1"/>
    <col min="2" max="2" width="18.90625" bestFit="1" customWidth="1"/>
  </cols>
  <sheetData>
    <row r="3" spans="1:2" x14ac:dyDescent="0.35">
      <c r="A3" s="1" t="s">
        <v>54</v>
      </c>
      <c r="B3" t="s">
        <v>57</v>
      </c>
    </row>
    <row r="4" spans="1:2" x14ac:dyDescent="0.35">
      <c r="A4" s="2" t="s">
        <v>58</v>
      </c>
      <c r="B4" s="4"/>
    </row>
    <row r="5" spans="1:2" x14ac:dyDescent="0.35">
      <c r="A5" s="3" t="s">
        <v>14</v>
      </c>
      <c r="B5" s="4">
        <v>900480.45000000007</v>
      </c>
    </row>
    <row r="6" spans="1:2" x14ac:dyDescent="0.35">
      <c r="A6" s="3" t="s">
        <v>10</v>
      </c>
      <c r="B6" s="4">
        <v>3718410.06</v>
      </c>
    </row>
    <row r="7" spans="1:2" x14ac:dyDescent="0.35">
      <c r="A7" s="3" t="s">
        <v>18</v>
      </c>
      <c r="B7" s="4">
        <v>2477396.36</v>
      </c>
    </row>
    <row r="8" spans="1:2" x14ac:dyDescent="0.35">
      <c r="A8" s="2" t="s">
        <v>15</v>
      </c>
      <c r="B8" s="4"/>
    </row>
    <row r="9" spans="1:2" x14ac:dyDescent="0.35">
      <c r="A9" s="3" t="s">
        <v>14</v>
      </c>
      <c r="B9" s="4">
        <v>2022707.85</v>
      </c>
    </row>
    <row r="10" spans="1:2" x14ac:dyDescent="0.35">
      <c r="A10" s="3" t="s">
        <v>10</v>
      </c>
      <c r="B10" s="4">
        <v>2380001.35</v>
      </c>
    </row>
    <row r="11" spans="1:2" x14ac:dyDescent="0.35">
      <c r="A11" s="3" t="s">
        <v>18</v>
      </c>
      <c r="B11" s="4">
        <v>3463255.29</v>
      </c>
    </row>
    <row r="12" spans="1:2" x14ac:dyDescent="0.35">
      <c r="A12" s="2" t="s">
        <v>19</v>
      </c>
      <c r="B12" s="4"/>
    </row>
    <row r="13" spans="1:2" x14ac:dyDescent="0.35">
      <c r="A13" s="3" t="s">
        <v>14</v>
      </c>
      <c r="B13" s="4">
        <v>587435.69999999995</v>
      </c>
    </row>
    <row r="14" spans="1:2" x14ac:dyDescent="0.35">
      <c r="A14" s="3" t="s">
        <v>10</v>
      </c>
      <c r="B14" s="4">
        <v>2487199.2200000002</v>
      </c>
    </row>
    <row r="15" spans="1:2" x14ac:dyDescent="0.35">
      <c r="A15" s="3" t="s">
        <v>18</v>
      </c>
      <c r="B15" s="4">
        <v>1562497.13</v>
      </c>
    </row>
    <row r="16" spans="1:2" x14ac:dyDescent="0.35">
      <c r="A16" s="2" t="s">
        <v>11</v>
      </c>
      <c r="B16" s="4"/>
    </row>
    <row r="17" spans="1:2" x14ac:dyDescent="0.35">
      <c r="A17" s="3" t="s">
        <v>14</v>
      </c>
      <c r="B17" s="4">
        <v>2745456.4</v>
      </c>
    </row>
    <row r="18" spans="1:2" x14ac:dyDescent="0.35">
      <c r="A18" s="3" t="s">
        <v>10</v>
      </c>
      <c r="B18" s="4">
        <v>410307.91000000003</v>
      </c>
    </row>
    <row r="19" spans="1:2" x14ac:dyDescent="0.35">
      <c r="A19" s="3" t="s">
        <v>18</v>
      </c>
      <c r="B19" s="4">
        <v>1704340.2100000002</v>
      </c>
    </row>
    <row r="20" spans="1:2" x14ac:dyDescent="0.35">
      <c r="A20" s="2" t="s">
        <v>25</v>
      </c>
      <c r="B20" s="4"/>
    </row>
    <row r="21" spans="1:2" x14ac:dyDescent="0.35">
      <c r="A21" s="3" t="s">
        <v>14</v>
      </c>
      <c r="B21" s="4">
        <v>2690237.7300000004</v>
      </c>
    </row>
    <row r="22" spans="1:2" x14ac:dyDescent="0.35">
      <c r="A22" s="3" t="s">
        <v>10</v>
      </c>
      <c r="B22" s="4">
        <v>2393711.64</v>
      </c>
    </row>
    <row r="23" spans="1:2" x14ac:dyDescent="0.35">
      <c r="A23" s="3" t="s">
        <v>18</v>
      </c>
      <c r="B23" s="4">
        <v>1192351.6299999999</v>
      </c>
    </row>
    <row r="24" spans="1:2" x14ac:dyDescent="0.35">
      <c r="A24" s="2" t="s">
        <v>21</v>
      </c>
      <c r="B24" s="4"/>
    </row>
    <row r="25" spans="1:2" x14ac:dyDescent="0.35">
      <c r="A25" s="3" t="s">
        <v>14</v>
      </c>
      <c r="B25" s="4">
        <v>1703027.3999999994</v>
      </c>
    </row>
    <row r="26" spans="1:2" x14ac:dyDescent="0.35">
      <c r="A26" s="3" t="s">
        <v>10</v>
      </c>
      <c r="B26" s="4">
        <v>2251871.79</v>
      </c>
    </row>
    <row r="27" spans="1:2" x14ac:dyDescent="0.35">
      <c r="A27" s="3" t="s">
        <v>18</v>
      </c>
      <c r="B27" s="4">
        <v>4167469.37</v>
      </c>
    </row>
    <row r="28" spans="1:2" x14ac:dyDescent="0.35">
      <c r="A28" s="2" t="s">
        <v>28</v>
      </c>
      <c r="B28" s="4"/>
    </row>
    <row r="29" spans="1:2" x14ac:dyDescent="0.35">
      <c r="A29" s="3" t="s">
        <v>14</v>
      </c>
      <c r="B29" s="4">
        <v>728537.77</v>
      </c>
    </row>
    <row r="30" spans="1:2" x14ac:dyDescent="0.35">
      <c r="A30" s="3" t="s">
        <v>10</v>
      </c>
      <c r="B30" s="4">
        <v>1616499.6800000002</v>
      </c>
    </row>
    <row r="31" spans="1:2" x14ac:dyDescent="0.35">
      <c r="A31" s="3" t="s">
        <v>18</v>
      </c>
      <c r="B31" s="4">
        <v>2001939.7100000002</v>
      </c>
    </row>
    <row r="32" spans="1:2" x14ac:dyDescent="0.35">
      <c r="A32" s="2" t="s">
        <v>30</v>
      </c>
      <c r="B32" s="4"/>
    </row>
    <row r="33" spans="1:2" x14ac:dyDescent="0.35">
      <c r="A33" s="3" t="s">
        <v>14</v>
      </c>
      <c r="B33" s="4">
        <v>2107613.4400000004</v>
      </c>
    </row>
    <row r="34" spans="1:2" x14ac:dyDescent="0.35">
      <c r="A34" s="3" t="s">
        <v>10</v>
      </c>
      <c r="B34" s="4">
        <v>2687579.6500000004</v>
      </c>
    </row>
    <row r="35" spans="1:2" x14ac:dyDescent="0.35">
      <c r="A35" s="3" t="s">
        <v>18</v>
      </c>
      <c r="B35" s="4">
        <v>2692922.5899999994</v>
      </c>
    </row>
    <row r="36" spans="1:2" x14ac:dyDescent="0.35">
      <c r="A36" s="2" t="s">
        <v>55</v>
      </c>
      <c r="B36" s="4">
        <v>50693250.329999991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04DFD-7A04-442D-BF72-B0B211EF25CB}">
  <dimension ref="A1:P33"/>
  <sheetViews>
    <sheetView topLeftCell="D1" workbookViewId="0">
      <selection activeCell="P12" sqref="P12"/>
    </sheetView>
  </sheetViews>
  <sheetFormatPr defaultRowHeight="14.5" x14ac:dyDescent="0.35"/>
  <cols>
    <col min="4" max="4" width="10.81640625" customWidth="1"/>
    <col min="7" max="7" width="15.26953125" customWidth="1"/>
    <col min="9" max="9" width="12.90625" customWidth="1"/>
    <col min="10" max="10" width="18.26953125" customWidth="1"/>
    <col min="12" max="12" width="13.54296875" customWidth="1"/>
    <col min="13" max="13" width="9.36328125" customWidth="1"/>
    <col min="14" max="14" width="16.1796875" customWidth="1"/>
    <col min="15" max="15" width="14.36328125" customWidth="1"/>
    <col min="16" max="16" width="15.7265625" customWidth="1"/>
  </cols>
  <sheetData>
    <row r="1" spans="1:16" x14ac:dyDescent="0.35">
      <c r="A1" t="s">
        <v>0</v>
      </c>
      <c r="B1" t="s">
        <v>1</v>
      </c>
      <c r="C1" t="s">
        <v>2</v>
      </c>
      <c r="D1" t="s">
        <v>3</v>
      </c>
      <c r="E1" t="s">
        <v>4</v>
      </c>
      <c r="F1" t="s">
        <v>5</v>
      </c>
      <c r="G1" t="s">
        <v>6</v>
      </c>
      <c r="H1" t="s">
        <v>7</v>
      </c>
      <c r="I1" t="s">
        <v>26</v>
      </c>
      <c r="J1" t="s">
        <v>27</v>
      </c>
      <c r="L1" t="s">
        <v>5</v>
      </c>
      <c r="M1" t="s">
        <v>32</v>
      </c>
      <c r="N1" t="s">
        <v>33</v>
      </c>
      <c r="O1" t="s">
        <v>34</v>
      </c>
      <c r="P1" t="s">
        <v>35</v>
      </c>
    </row>
    <row r="2" spans="1:16" x14ac:dyDescent="0.35">
      <c r="A2">
        <v>80</v>
      </c>
      <c r="B2" t="s">
        <v>29</v>
      </c>
      <c r="C2" t="s">
        <v>23</v>
      </c>
      <c r="D2" t="s">
        <v>12</v>
      </c>
      <c r="E2">
        <v>8125</v>
      </c>
      <c r="F2" t="s">
        <v>14</v>
      </c>
      <c r="G2">
        <v>3</v>
      </c>
      <c r="H2">
        <v>1404.2</v>
      </c>
      <c r="I2">
        <v>129</v>
      </c>
      <c r="J2">
        <f t="shared" ref="J2:J33" si="0">H2*I2</f>
        <v>181141.80000000002</v>
      </c>
    </row>
    <row r="3" spans="1:16" x14ac:dyDescent="0.35">
      <c r="A3">
        <v>146</v>
      </c>
      <c r="B3" t="s">
        <v>29</v>
      </c>
      <c r="C3" t="s">
        <v>24</v>
      </c>
      <c r="D3" t="s">
        <v>20</v>
      </c>
      <c r="E3">
        <v>4529</v>
      </c>
      <c r="F3" t="s">
        <v>14</v>
      </c>
      <c r="G3">
        <v>30</v>
      </c>
      <c r="H3">
        <v>185.7</v>
      </c>
      <c r="I3">
        <v>122</v>
      </c>
      <c r="J3">
        <f t="shared" si="0"/>
        <v>22655.399999999998</v>
      </c>
      <c r="L3" t="s">
        <v>31</v>
      </c>
      <c r="M3">
        <f>I2+I3+I4+I5+I6+I7+I8</f>
        <v>727</v>
      </c>
      <c r="N3">
        <f>AVERAGE(I2:I8)</f>
        <v>103.85714285714286</v>
      </c>
      <c r="O3">
        <f>(J2+J3+J4+J5+J6+J7+J8)</f>
        <v>900480.45</v>
      </c>
      <c r="P3">
        <f>AVERAGE(J2:J8)</f>
        <v>128640.06428571428</v>
      </c>
    </row>
    <row r="4" spans="1:16" x14ac:dyDescent="0.35">
      <c r="A4">
        <v>248</v>
      </c>
      <c r="B4" t="s">
        <v>29</v>
      </c>
      <c r="C4" t="s">
        <v>22</v>
      </c>
      <c r="D4" t="s">
        <v>20</v>
      </c>
      <c r="E4">
        <v>7396</v>
      </c>
      <c r="F4" t="s">
        <v>14</v>
      </c>
      <c r="G4">
        <v>34</v>
      </c>
      <c r="H4">
        <v>644.19000000000005</v>
      </c>
      <c r="I4">
        <v>117</v>
      </c>
      <c r="J4">
        <f t="shared" si="0"/>
        <v>75370.23000000001</v>
      </c>
    </row>
    <row r="5" spans="1:16" x14ac:dyDescent="0.35">
      <c r="A5">
        <v>30</v>
      </c>
      <c r="B5" t="s">
        <v>29</v>
      </c>
      <c r="C5" t="s">
        <v>13</v>
      </c>
      <c r="D5" t="s">
        <v>20</v>
      </c>
      <c r="E5">
        <v>6248</v>
      </c>
      <c r="F5" t="s">
        <v>14</v>
      </c>
      <c r="G5">
        <v>82</v>
      </c>
      <c r="H5">
        <v>439.16</v>
      </c>
      <c r="I5">
        <v>53</v>
      </c>
      <c r="J5">
        <f t="shared" si="0"/>
        <v>23275.48</v>
      </c>
      <c r="L5" t="s">
        <v>36</v>
      </c>
      <c r="M5">
        <f>SUM(I9:I20)</f>
        <v>1450</v>
      </c>
      <c r="N5">
        <f>AVERAGE(I9:I20)</f>
        <v>120.83333333333333</v>
      </c>
      <c r="O5">
        <f>SUM(J9:J20)</f>
        <v>3718410.06</v>
      </c>
      <c r="P5">
        <f>AVERAGE(J9:J20)</f>
        <v>309867.505</v>
      </c>
    </row>
    <row r="6" spans="1:16" x14ac:dyDescent="0.35">
      <c r="A6">
        <v>23</v>
      </c>
      <c r="B6" t="s">
        <v>29</v>
      </c>
      <c r="C6" t="s">
        <v>12</v>
      </c>
      <c r="D6" t="s">
        <v>23</v>
      </c>
      <c r="E6">
        <v>6192</v>
      </c>
      <c r="F6" t="s">
        <v>14</v>
      </c>
      <c r="G6">
        <v>23</v>
      </c>
      <c r="H6">
        <v>516.19000000000005</v>
      </c>
      <c r="I6">
        <v>26</v>
      </c>
      <c r="J6">
        <f t="shared" si="0"/>
        <v>13420.940000000002</v>
      </c>
    </row>
    <row r="7" spans="1:16" x14ac:dyDescent="0.35">
      <c r="A7">
        <v>158</v>
      </c>
      <c r="B7" t="s">
        <v>29</v>
      </c>
      <c r="C7" t="s">
        <v>24</v>
      </c>
      <c r="D7" t="s">
        <v>17</v>
      </c>
      <c r="E7">
        <v>11771</v>
      </c>
      <c r="F7" t="s">
        <v>14</v>
      </c>
      <c r="G7">
        <v>116</v>
      </c>
      <c r="H7">
        <v>1029.8699999999999</v>
      </c>
      <c r="I7">
        <v>100</v>
      </c>
      <c r="J7">
        <f t="shared" si="0"/>
        <v>102986.99999999999</v>
      </c>
      <c r="L7" t="s">
        <v>37</v>
      </c>
      <c r="M7">
        <f>SUM(I21:I33)</f>
        <v>1257</v>
      </c>
      <c r="N7">
        <f>AVERAGE(I21:I33)</f>
        <v>96.692307692307693</v>
      </c>
      <c r="O7">
        <f>SUM(J21:J33)</f>
        <v>2477396.36</v>
      </c>
      <c r="P7">
        <f>AVERAGE(J21:J33)</f>
        <v>190568.95076923075</v>
      </c>
    </row>
    <row r="8" spans="1:16" x14ac:dyDescent="0.35">
      <c r="A8">
        <v>141</v>
      </c>
      <c r="B8" t="s">
        <v>29</v>
      </c>
      <c r="C8" t="s">
        <v>16</v>
      </c>
      <c r="D8" t="s">
        <v>17</v>
      </c>
      <c r="E8">
        <v>10709</v>
      </c>
      <c r="F8" t="s">
        <v>14</v>
      </c>
      <c r="G8">
        <v>7</v>
      </c>
      <c r="H8">
        <v>2675.72</v>
      </c>
      <c r="I8">
        <v>180</v>
      </c>
      <c r="J8">
        <f t="shared" si="0"/>
        <v>481629.6</v>
      </c>
      <c r="L8" t="s">
        <v>50</v>
      </c>
      <c r="M8">
        <f>SUM(M3:M7)</f>
        <v>3434</v>
      </c>
      <c r="N8">
        <f>SUM(N3:N7)</f>
        <v>321.38278388278388</v>
      </c>
      <c r="O8">
        <f>SUM(O3:O7)</f>
        <v>7096286.8699999992</v>
      </c>
      <c r="P8">
        <f>SUM(P3:P7)</f>
        <v>629076.52005494502</v>
      </c>
    </row>
    <row r="9" spans="1:16" x14ac:dyDescent="0.35">
      <c r="A9">
        <v>27</v>
      </c>
      <c r="B9" t="s">
        <v>29</v>
      </c>
      <c r="C9" t="s">
        <v>12</v>
      </c>
      <c r="D9" t="s">
        <v>24</v>
      </c>
      <c r="E9">
        <v>2880</v>
      </c>
      <c r="F9" t="s">
        <v>10</v>
      </c>
      <c r="G9">
        <v>38</v>
      </c>
      <c r="H9">
        <v>6495.84</v>
      </c>
      <c r="I9">
        <v>146</v>
      </c>
      <c r="J9">
        <f t="shared" si="0"/>
        <v>948392.64</v>
      </c>
    </row>
    <row r="10" spans="1:16" x14ac:dyDescent="0.35">
      <c r="A10">
        <v>134</v>
      </c>
      <c r="B10" t="s">
        <v>29</v>
      </c>
      <c r="C10" t="s">
        <v>13</v>
      </c>
      <c r="D10" t="s">
        <v>24</v>
      </c>
      <c r="E10">
        <v>4205</v>
      </c>
      <c r="F10" t="s">
        <v>10</v>
      </c>
      <c r="G10">
        <v>49</v>
      </c>
      <c r="H10">
        <v>7698.07</v>
      </c>
      <c r="I10">
        <v>93</v>
      </c>
      <c r="J10">
        <f t="shared" si="0"/>
        <v>715920.51</v>
      </c>
    </row>
    <row r="11" spans="1:16" x14ac:dyDescent="0.35">
      <c r="A11">
        <v>135</v>
      </c>
      <c r="B11" t="s">
        <v>29</v>
      </c>
      <c r="C11" t="s">
        <v>9</v>
      </c>
      <c r="D11" t="s">
        <v>24</v>
      </c>
      <c r="E11">
        <v>9160</v>
      </c>
      <c r="F11" t="s">
        <v>10</v>
      </c>
      <c r="G11">
        <v>12</v>
      </c>
      <c r="H11">
        <v>790.36</v>
      </c>
      <c r="I11">
        <v>183</v>
      </c>
      <c r="J11">
        <f t="shared" si="0"/>
        <v>144635.88</v>
      </c>
      <c r="L11" t="s">
        <v>38</v>
      </c>
    </row>
    <row r="12" spans="1:16" x14ac:dyDescent="0.35">
      <c r="A12">
        <v>241</v>
      </c>
      <c r="B12" t="s">
        <v>29</v>
      </c>
      <c r="C12" t="s">
        <v>12</v>
      </c>
      <c r="D12" t="s">
        <v>22</v>
      </c>
      <c r="E12">
        <v>3516</v>
      </c>
      <c r="F12" t="s">
        <v>10</v>
      </c>
      <c r="G12">
        <v>6</v>
      </c>
      <c r="H12">
        <v>5746.4</v>
      </c>
      <c r="I12">
        <v>36</v>
      </c>
      <c r="J12">
        <f t="shared" si="0"/>
        <v>206870.39999999999</v>
      </c>
    </row>
    <row r="13" spans="1:16" x14ac:dyDescent="0.35">
      <c r="A13">
        <v>79</v>
      </c>
      <c r="B13" t="s">
        <v>29</v>
      </c>
      <c r="C13" t="s">
        <v>13</v>
      </c>
      <c r="D13" t="s">
        <v>22</v>
      </c>
      <c r="E13">
        <v>965</v>
      </c>
      <c r="F13" t="s">
        <v>10</v>
      </c>
      <c r="G13">
        <v>8</v>
      </c>
      <c r="H13">
        <v>3257.78</v>
      </c>
      <c r="I13">
        <v>104</v>
      </c>
      <c r="J13">
        <f t="shared" si="0"/>
        <v>338809.12</v>
      </c>
      <c r="L13" t="s">
        <v>39</v>
      </c>
    </row>
    <row r="14" spans="1:16" x14ac:dyDescent="0.35">
      <c r="A14">
        <v>101</v>
      </c>
      <c r="B14" t="s">
        <v>29</v>
      </c>
      <c r="C14" t="s">
        <v>23</v>
      </c>
      <c r="D14" t="s">
        <v>22</v>
      </c>
      <c r="E14">
        <v>10818</v>
      </c>
      <c r="F14" t="s">
        <v>10</v>
      </c>
      <c r="G14">
        <v>25</v>
      </c>
      <c r="H14">
        <v>1485.53</v>
      </c>
      <c r="I14">
        <v>146</v>
      </c>
      <c r="J14">
        <f t="shared" si="0"/>
        <v>216887.38</v>
      </c>
      <c r="L14" t="s">
        <v>41</v>
      </c>
      <c r="N14" t="s">
        <v>42</v>
      </c>
    </row>
    <row r="15" spans="1:16" x14ac:dyDescent="0.35">
      <c r="A15">
        <v>122</v>
      </c>
      <c r="B15" t="s">
        <v>29</v>
      </c>
      <c r="C15" t="s">
        <v>17</v>
      </c>
      <c r="D15" t="s">
        <v>12</v>
      </c>
      <c r="E15">
        <v>2195</v>
      </c>
      <c r="F15" t="s">
        <v>10</v>
      </c>
      <c r="G15">
        <v>97</v>
      </c>
      <c r="H15">
        <v>2807.81</v>
      </c>
      <c r="I15">
        <v>116</v>
      </c>
      <c r="J15">
        <f t="shared" si="0"/>
        <v>325705.96000000002</v>
      </c>
      <c r="L15" t="s">
        <v>32</v>
      </c>
      <c r="M15">
        <f>M5-M3</f>
        <v>723</v>
      </c>
      <c r="N15" t="s">
        <v>34</v>
      </c>
      <c r="O15">
        <f>O5-O3</f>
        <v>2817929.6100000003</v>
      </c>
    </row>
    <row r="16" spans="1:16" x14ac:dyDescent="0.35">
      <c r="A16">
        <v>118</v>
      </c>
      <c r="B16" t="s">
        <v>29</v>
      </c>
      <c r="C16" t="s">
        <v>20</v>
      </c>
      <c r="D16" t="s">
        <v>13</v>
      </c>
      <c r="E16">
        <v>7499</v>
      </c>
      <c r="F16" t="s">
        <v>10</v>
      </c>
      <c r="G16">
        <v>3</v>
      </c>
      <c r="H16">
        <v>1334.79</v>
      </c>
      <c r="I16">
        <v>117</v>
      </c>
      <c r="J16">
        <f t="shared" si="0"/>
        <v>156170.43</v>
      </c>
      <c r="L16" t="s">
        <v>33</v>
      </c>
      <c r="M16">
        <f>N5-N3</f>
        <v>16.976190476190467</v>
      </c>
      <c r="N16" t="s">
        <v>35</v>
      </c>
      <c r="O16">
        <f>P5-P3</f>
        <v>181227.44071428571</v>
      </c>
    </row>
    <row r="17" spans="1:15" x14ac:dyDescent="0.35">
      <c r="A17">
        <v>149</v>
      </c>
      <c r="B17" t="s">
        <v>29</v>
      </c>
      <c r="C17" t="s">
        <v>13</v>
      </c>
      <c r="D17" t="s">
        <v>20</v>
      </c>
      <c r="E17">
        <v>2927</v>
      </c>
      <c r="F17" t="s">
        <v>10</v>
      </c>
      <c r="G17">
        <v>71</v>
      </c>
      <c r="H17">
        <v>876.97</v>
      </c>
      <c r="I17">
        <v>151</v>
      </c>
      <c r="J17">
        <f t="shared" si="0"/>
        <v>132422.47</v>
      </c>
    </row>
    <row r="18" spans="1:15" x14ac:dyDescent="0.35">
      <c r="A18">
        <v>238</v>
      </c>
      <c r="B18" t="s">
        <v>29</v>
      </c>
      <c r="C18" t="s">
        <v>8</v>
      </c>
      <c r="D18" t="s">
        <v>23</v>
      </c>
      <c r="E18">
        <v>4433</v>
      </c>
      <c r="F18" t="s">
        <v>10</v>
      </c>
      <c r="G18">
        <v>76</v>
      </c>
      <c r="H18">
        <v>1613.13</v>
      </c>
      <c r="I18">
        <v>39</v>
      </c>
      <c r="J18">
        <f t="shared" si="0"/>
        <v>62912.070000000007</v>
      </c>
      <c r="L18" t="s">
        <v>43</v>
      </c>
    </row>
    <row r="19" spans="1:15" x14ac:dyDescent="0.35">
      <c r="A19">
        <v>114</v>
      </c>
      <c r="B19" t="s">
        <v>29</v>
      </c>
      <c r="C19" t="s">
        <v>24</v>
      </c>
      <c r="D19" t="s">
        <v>9</v>
      </c>
      <c r="E19">
        <v>5301</v>
      </c>
      <c r="F19" t="s">
        <v>10</v>
      </c>
      <c r="G19">
        <v>114</v>
      </c>
      <c r="H19">
        <v>2895.64</v>
      </c>
      <c r="I19">
        <v>125</v>
      </c>
      <c r="J19">
        <f t="shared" si="0"/>
        <v>361955</v>
      </c>
      <c r="L19" t="s">
        <v>41</v>
      </c>
      <c r="N19" t="s">
        <v>42</v>
      </c>
    </row>
    <row r="20" spans="1:15" x14ac:dyDescent="0.35">
      <c r="A20">
        <v>1</v>
      </c>
      <c r="B20" t="s">
        <v>29</v>
      </c>
      <c r="C20" t="s">
        <v>8</v>
      </c>
      <c r="D20" t="s">
        <v>9</v>
      </c>
      <c r="E20">
        <v>2643</v>
      </c>
      <c r="F20" t="s">
        <v>10</v>
      </c>
      <c r="G20">
        <v>28</v>
      </c>
      <c r="H20">
        <v>555.29999999999995</v>
      </c>
      <c r="I20">
        <v>194</v>
      </c>
      <c r="J20">
        <f t="shared" si="0"/>
        <v>107728.2</v>
      </c>
      <c r="L20" t="s">
        <v>32</v>
      </c>
      <c r="M20">
        <f>M7-M3</f>
        <v>530</v>
      </c>
      <c r="N20" t="s">
        <v>34</v>
      </c>
      <c r="O20">
        <f>O7-O3</f>
        <v>1576915.91</v>
      </c>
    </row>
    <row r="21" spans="1:15" x14ac:dyDescent="0.35">
      <c r="A21">
        <v>112</v>
      </c>
      <c r="B21" t="s">
        <v>29</v>
      </c>
      <c r="C21" t="s">
        <v>22</v>
      </c>
      <c r="D21" t="s">
        <v>24</v>
      </c>
      <c r="E21">
        <v>8949</v>
      </c>
      <c r="F21" t="s">
        <v>18</v>
      </c>
      <c r="G21">
        <v>39</v>
      </c>
      <c r="H21">
        <v>2210.16</v>
      </c>
      <c r="I21">
        <v>194</v>
      </c>
      <c r="J21">
        <f t="shared" si="0"/>
        <v>428771.04</v>
      </c>
      <c r="L21" t="s">
        <v>33</v>
      </c>
      <c r="M21">
        <f>N3-N7</f>
        <v>7.1648351648351678</v>
      </c>
      <c r="N21" t="s">
        <v>35</v>
      </c>
      <c r="O21">
        <f>P7-P3</f>
        <v>61928.886483516471</v>
      </c>
    </row>
    <row r="22" spans="1:15" x14ac:dyDescent="0.35">
      <c r="A22">
        <v>78</v>
      </c>
      <c r="B22" t="s">
        <v>29</v>
      </c>
      <c r="C22" t="s">
        <v>12</v>
      </c>
      <c r="D22" t="s">
        <v>24</v>
      </c>
      <c r="E22">
        <v>8736</v>
      </c>
      <c r="F22" t="s">
        <v>18</v>
      </c>
      <c r="G22">
        <v>61</v>
      </c>
      <c r="H22">
        <v>2282.17</v>
      </c>
      <c r="I22">
        <v>10</v>
      </c>
      <c r="J22">
        <f t="shared" si="0"/>
        <v>22821.7</v>
      </c>
    </row>
    <row r="23" spans="1:15" x14ac:dyDescent="0.35">
      <c r="A23">
        <v>83</v>
      </c>
      <c r="B23" t="s">
        <v>29</v>
      </c>
      <c r="C23" t="s">
        <v>22</v>
      </c>
      <c r="D23" t="s">
        <v>16</v>
      </c>
      <c r="E23">
        <v>6644</v>
      </c>
      <c r="F23" t="s">
        <v>18</v>
      </c>
      <c r="G23">
        <v>110</v>
      </c>
      <c r="H23">
        <v>632.41999999999996</v>
      </c>
      <c r="I23">
        <v>88</v>
      </c>
      <c r="J23">
        <f t="shared" si="0"/>
        <v>55652.959999999999</v>
      </c>
      <c r="L23" t="s">
        <v>44</v>
      </c>
    </row>
    <row r="24" spans="1:15" x14ac:dyDescent="0.35">
      <c r="A24">
        <v>171</v>
      </c>
      <c r="B24" t="s">
        <v>29</v>
      </c>
      <c r="C24" t="s">
        <v>22</v>
      </c>
      <c r="D24" t="s">
        <v>16</v>
      </c>
      <c r="E24">
        <v>9131</v>
      </c>
      <c r="F24" t="s">
        <v>18</v>
      </c>
      <c r="G24">
        <v>115</v>
      </c>
      <c r="H24">
        <v>507.24</v>
      </c>
      <c r="I24">
        <v>195</v>
      </c>
      <c r="J24">
        <f t="shared" si="0"/>
        <v>98911.8</v>
      </c>
      <c r="L24" t="s">
        <v>41</v>
      </c>
      <c r="N24" t="s">
        <v>42</v>
      </c>
    </row>
    <row r="25" spans="1:15" x14ac:dyDescent="0.35">
      <c r="A25">
        <v>128</v>
      </c>
      <c r="B25" t="s">
        <v>29</v>
      </c>
      <c r="C25" t="s">
        <v>9</v>
      </c>
      <c r="D25" t="s">
        <v>12</v>
      </c>
      <c r="E25">
        <v>7129</v>
      </c>
      <c r="F25" t="s">
        <v>18</v>
      </c>
      <c r="G25">
        <v>63</v>
      </c>
      <c r="H25">
        <v>7601</v>
      </c>
      <c r="I25">
        <v>12</v>
      </c>
      <c r="J25">
        <f t="shared" si="0"/>
        <v>91212</v>
      </c>
      <c r="L25" t="s">
        <v>32</v>
      </c>
      <c r="M25">
        <f>M5-M7</f>
        <v>193</v>
      </c>
      <c r="N25" t="s">
        <v>34</v>
      </c>
      <c r="O25">
        <f>O5-O7</f>
        <v>1241013.7000000002</v>
      </c>
    </row>
    <row r="26" spans="1:15" x14ac:dyDescent="0.35">
      <c r="A26">
        <v>120</v>
      </c>
      <c r="B26" t="s">
        <v>29</v>
      </c>
      <c r="C26" t="s">
        <v>24</v>
      </c>
      <c r="D26" t="s">
        <v>13</v>
      </c>
      <c r="E26">
        <v>5106</v>
      </c>
      <c r="F26" t="s">
        <v>18</v>
      </c>
      <c r="G26">
        <v>50</v>
      </c>
      <c r="H26">
        <v>1929.27</v>
      </c>
      <c r="I26">
        <v>11</v>
      </c>
      <c r="J26">
        <f t="shared" si="0"/>
        <v>21221.97</v>
      </c>
      <c r="L26" t="s">
        <v>33</v>
      </c>
      <c r="M26">
        <f>N5-N7</f>
        <v>24.141025641025635</v>
      </c>
      <c r="N26" t="s">
        <v>35</v>
      </c>
      <c r="O26">
        <f>P5-P7</f>
        <v>119298.55423076925</v>
      </c>
    </row>
    <row r="27" spans="1:15" x14ac:dyDescent="0.35">
      <c r="A27">
        <v>64</v>
      </c>
      <c r="B27" t="s">
        <v>29</v>
      </c>
      <c r="C27" t="s">
        <v>16</v>
      </c>
      <c r="D27" t="s">
        <v>13</v>
      </c>
      <c r="E27">
        <v>6533</v>
      </c>
      <c r="F27" t="s">
        <v>18</v>
      </c>
      <c r="G27">
        <v>37</v>
      </c>
      <c r="H27">
        <v>3032.38</v>
      </c>
      <c r="I27">
        <v>102</v>
      </c>
      <c r="J27">
        <f t="shared" si="0"/>
        <v>309302.76</v>
      </c>
    </row>
    <row r="28" spans="1:15" x14ac:dyDescent="0.35">
      <c r="A28">
        <v>235</v>
      </c>
      <c r="B28" t="s">
        <v>29</v>
      </c>
      <c r="C28" t="s">
        <v>17</v>
      </c>
      <c r="D28" t="s">
        <v>13</v>
      </c>
      <c r="E28">
        <v>5058</v>
      </c>
      <c r="F28" t="s">
        <v>18</v>
      </c>
      <c r="G28">
        <v>65</v>
      </c>
      <c r="H28">
        <v>682.12</v>
      </c>
      <c r="I28">
        <v>104</v>
      </c>
      <c r="J28">
        <f t="shared" si="0"/>
        <v>70940.479999999996</v>
      </c>
    </row>
    <row r="29" spans="1:15" x14ac:dyDescent="0.35">
      <c r="A29">
        <v>35</v>
      </c>
      <c r="B29" t="s">
        <v>29</v>
      </c>
      <c r="C29" t="s">
        <v>22</v>
      </c>
      <c r="D29" t="s">
        <v>20</v>
      </c>
      <c r="E29">
        <v>5531</v>
      </c>
      <c r="F29" t="s">
        <v>18</v>
      </c>
      <c r="G29">
        <v>45</v>
      </c>
      <c r="H29">
        <v>2323.31</v>
      </c>
      <c r="I29">
        <v>107</v>
      </c>
      <c r="J29">
        <f t="shared" si="0"/>
        <v>248594.16999999998</v>
      </c>
    </row>
    <row r="30" spans="1:15" x14ac:dyDescent="0.35">
      <c r="A30">
        <v>16</v>
      </c>
      <c r="B30" t="s">
        <v>29</v>
      </c>
      <c r="C30" t="s">
        <v>9</v>
      </c>
      <c r="D30" t="s">
        <v>20</v>
      </c>
      <c r="E30">
        <v>3864</v>
      </c>
      <c r="F30" t="s">
        <v>18</v>
      </c>
      <c r="G30">
        <v>9</v>
      </c>
      <c r="H30">
        <v>1883.11</v>
      </c>
      <c r="I30">
        <v>17</v>
      </c>
      <c r="J30">
        <f t="shared" si="0"/>
        <v>32012.87</v>
      </c>
    </row>
    <row r="31" spans="1:15" x14ac:dyDescent="0.35">
      <c r="A31">
        <v>19</v>
      </c>
      <c r="B31" t="s">
        <v>29</v>
      </c>
      <c r="C31" t="s">
        <v>17</v>
      </c>
      <c r="D31" t="s">
        <v>8</v>
      </c>
      <c r="E31">
        <v>7444</v>
      </c>
      <c r="F31" t="s">
        <v>18</v>
      </c>
      <c r="G31">
        <v>109</v>
      </c>
      <c r="H31">
        <v>5349.65</v>
      </c>
      <c r="I31">
        <v>121</v>
      </c>
      <c r="J31">
        <f t="shared" si="0"/>
        <v>647307.64999999991</v>
      </c>
    </row>
    <row r="32" spans="1:15" x14ac:dyDescent="0.35">
      <c r="A32">
        <v>11</v>
      </c>
      <c r="B32" t="s">
        <v>29</v>
      </c>
      <c r="C32" t="s">
        <v>8</v>
      </c>
      <c r="D32" t="s">
        <v>23</v>
      </c>
      <c r="E32">
        <v>6328</v>
      </c>
      <c r="F32" t="s">
        <v>18</v>
      </c>
      <c r="G32">
        <v>55</v>
      </c>
      <c r="H32">
        <v>2070.27</v>
      </c>
      <c r="I32">
        <v>102</v>
      </c>
      <c r="J32">
        <f t="shared" si="0"/>
        <v>211167.54</v>
      </c>
    </row>
    <row r="33" spans="1:10" x14ac:dyDescent="0.35">
      <c r="A33">
        <v>216</v>
      </c>
      <c r="B33" t="s">
        <v>29</v>
      </c>
      <c r="C33" t="s">
        <v>9</v>
      </c>
      <c r="D33" t="s">
        <v>17</v>
      </c>
      <c r="E33">
        <v>11094</v>
      </c>
      <c r="F33" t="s">
        <v>18</v>
      </c>
      <c r="G33">
        <v>85</v>
      </c>
      <c r="H33">
        <v>1234.43</v>
      </c>
      <c r="I33">
        <v>194</v>
      </c>
      <c r="J33">
        <f t="shared" si="0"/>
        <v>239479.42</v>
      </c>
    </row>
  </sheetData>
  <pageMargins left="0.7" right="0.7" top="0.75" bottom="0.75" header="0.3" footer="0.3"/>
  <ignoredErrors>
    <ignoredError sqref="N3 M5:N5 M7:N7"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27E70-4C86-4256-B4EB-5D02C549B546}">
  <dimension ref="A1:P37"/>
  <sheetViews>
    <sheetView topLeftCell="F1" workbookViewId="0">
      <selection activeCell="O25" sqref="O25"/>
    </sheetView>
  </sheetViews>
  <sheetFormatPr defaultRowHeight="14.5" x14ac:dyDescent="0.35"/>
  <cols>
    <col min="2" max="2" width="8.7265625" customWidth="1"/>
    <col min="3" max="3" width="14.7265625" customWidth="1"/>
    <col min="6" max="6" width="11.1796875" customWidth="1"/>
    <col min="8" max="8" width="9.36328125" customWidth="1"/>
    <col min="9" max="9" width="10.7265625" customWidth="1"/>
    <col min="10" max="10" width="14.54296875" customWidth="1"/>
    <col min="11" max="11" width="13.7265625" customWidth="1"/>
    <col min="12" max="12" width="12" customWidth="1"/>
    <col min="13" max="13" width="12.26953125" customWidth="1"/>
    <col min="14" max="14" width="17.453125" customWidth="1"/>
    <col min="15" max="15" width="15.81640625" customWidth="1"/>
    <col min="16" max="16" width="15.90625" customWidth="1"/>
    <col min="17" max="17" width="17.1796875" customWidth="1"/>
  </cols>
  <sheetData>
    <row r="1" spans="1:16" x14ac:dyDescent="0.35">
      <c r="A1" t="s">
        <v>0</v>
      </c>
      <c r="B1" t="s">
        <v>1</v>
      </c>
      <c r="C1" t="s">
        <v>2</v>
      </c>
      <c r="D1" t="s">
        <v>3</v>
      </c>
      <c r="E1" t="s">
        <v>4</v>
      </c>
      <c r="F1" t="s">
        <v>5</v>
      </c>
      <c r="G1" t="s">
        <v>6</v>
      </c>
      <c r="H1" t="s">
        <v>7</v>
      </c>
      <c r="I1" t="s">
        <v>26</v>
      </c>
      <c r="J1" t="s">
        <v>27</v>
      </c>
      <c r="L1" t="s">
        <v>5</v>
      </c>
      <c r="M1" t="s">
        <v>32</v>
      </c>
      <c r="N1" t="s">
        <v>33</v>
      </c>
      <c r="O1" t="s">
        <v>34</v>
      </c>
      <c r="P1" t="s">
        <v>35</v>
      </c>
    </row>
    <row r="2" spans="1:16" x14ac:dyDescent="0.35">
      <c r="A2">
        <v>22</v>
      </c>
      <c r="B2" t="s">
        <v>15</v>
      </c>
      <c r="C2" t="s">
        <v>20</v>
      </c>
      <c r="D2" t="s">
        <v>23</v>
      </c>
      <c r="E2">
        <v>1430</v>
      </c>
      <c r="F2" t="s">
        <v>14</v>
      </c>
      <c r="G2">
        <v>3</v>
      </c>
      <c r="H2">
        <v>815.27</v>
      </c>
      <c r="I2">
        <v>97</v>
      </c>
      <c r="J2">
        <f t="shared" ref="J2:J37" si="0">H2*I2</f>
        <v>79081.19</v>
      </c>
    </row>
    <row r="3" spans="1:16" x14ac:dyDescent="0.35">
      <c r="A3">
        <v>37</v>
      </c>
      <c r="B3" t="s">
        <v>15</v>
      </c>
      <c r="C3" t="s">
        <v>9</v>
      </c>
      <c r="D3" t="s">
        <v>22</v>
      </c>
      <c r="E3">
        <v>8180</v>
      </c>
      <c r="F3" t="s">
        <v>14</v>
      </c>
      <c r="G3">
        <v>40</v>
      </c>
      <c r="H3">
        <v>552.54</v>
      </c>
      <c r="I3">
        <v>19</v>
      </c>
      <c r="J3">
        <f t="shared" si="0"/>
        <v>10498.259999999998</v>
      </c>
      <c r="L3" t="s">
        <v>14</v>
      </c>
      <c r="M3">
        <f>SUM(I2:I11)</f>
        <v>871</v>
      </c>
      <c r="N3">
        <f>AVERAGE(I2:I11)</f>
        <v>87.1</v>
      </c>
      <c r="O3">
        <f>SUM(J2:J11)</f>
        <v>2022707.85</v>
      </c>
      <c r="P3">
        <f>AVERAGE(J2:J11)</f>
        <v>202270.785</v>
      </c>
    </row>
    <row r="4" spans="1:16" x14ac:dyDescent="0.35">
      <c r="A4">
        <v>57</v>
      </c>
      <c r="B4" t="s">
        <v>15</v>
      </c>
      <c r="C4" t="s">
        <v>9</v>
      </c>
      <c r="D4" t="s">
        <v>22</v>
      </c>
      <c r="E4">
        <v>1062</v>
      </c>
      <c r="F4" t="s">
        <v>14</v>
      </c>
      <c r="G4">
        <v>26</v>
      </c>
      <c r="H4">
        <v>504.74</v>
      </c>
      <c r="I4">
        <v>89</v>
      </c>
      <c r="J4">
        <f t="shared" si="0"/>
        <v>44921.86</v>
      </c>
    </row>
    <row r="5" spans="1:16" x14ac:dyDescent="0.35">
      <c r="A5">
        <v>65</v>
      </c>
      <c r="B5" t="s">
        <v>15</v>
      </c>
      <c r="C5" t="s">
        <v>17</v>
      </c>
      <c r="D5" t="s">
        <v>9</v>
      </c>
      <c r="E5">
        <v>8616</v>
      </c>
      <c r="F5" t="s">
        <v>14</v>
      </c>
      <c r="G5">
        <v>87</v>
      </c>
      <c r="H5">
        <v>1934.15</v>
      </c>
      <c r="I5">
        <v>82</v>
      </c>
      <c r="J5">
        <f t="shared" si="0"/>
        <v>158600.30000000002</v>
      </c>
      <c r="L5" t="s">
        <v>10</v>
      </c>
      <c r="M5">
        <f>SUM(I12:I25)</f>
        <v>1530</v>
      </c>
      <c r="N5">
        <f>AVERAGE(I12:I25)</f>
        <v>109.28571428571429</v>
      </c>
      <c r="O5">
        <f>SUM(J12:J25)</f>
        <v>2380001.35</v>
      </c>
      <c r="P5">
        <f>AVERAGE(J12:J25)</f>
        <v>170000.09642857144</v>
      </c>
    </row>
    <row r="6" spans="1:16" x14ac:dyDescent="0.35">
      <c r="A6">
        <v>91</v>
      </c>
      <c r="B6" t="s">
        <v>15</v>
      </c>
      <c r="C6" t="s">
        <v>8</v>
      </c>
      <c r="D6" t="s">
        <v>9</v>
      </c>
      <c r="E6">
        <v>5613</v>
      </c>
      <c r="F6" t="s">
        <v>14</v>
      </c>
      <c r="G6">
        <v>30</v>
      </c>
      <c r="H6">
        <v>280.23</v>
      </c>
      <c r="I6">
        <v>158</v>
      </c>
      <c r="J6">
        <f t="shared" si="0"/>
        <v>44276.340000000004</v>
      </c>
    </row>
    <row r="7" spans="1:16" x14ac:dyDescent="0.35">
      <c r="A7">
        <v>92</v>
      </c>
      <c r="B7" t="s">
        <v>15</v>
      </c>
      <c r="C7" t="s">
        <v>23</v>
      </c>
      <c r="D7" t="s">
        <v>13</v>
      </c>
      <c r="E7">
        <v>10446</v>
      </c>
      <c r="F7" t="s">
        <v>14</v>
      </c>
      <c r="G7">
        <v>40</v>
      </c>
      <c r="H7">
        <v>533.61</v>
      </c>
      <c r="I7">
        <v>99</v>
      </c>
      <c r="J7">
        <f t="shared" si="0"/>
        <v>52827.39</v>
      </c>
      <c r="L7" t="s">
        <v>18</v>
      </c>
      <c r="M7">
        <f>SUM(I26:I37)</f>
        <v>1323</v>
      </c>
      <c r="N7">
        <f>AVERAGE(I26:I37)</f>
        <v>110.25</v>
      </c>
      <c r="O7">
        <f>SUM(J26:J37)</f>
        <v>3463255.29</v>
      </c>
      <c r="P7">
        <f>AVERAGE(J26:J37)</f>
        <v>288604.60749999998</v>
      </c>
    </row>
    <row r="8" spans="1:16" x14ac:dyDescent="0.35">
      <c r="A8">
        <v>125</v>
      </c>
      <c r="B8" t="s">
        <v>15</v>
      </c>
      <c r="C8" t="s">
        <v>12</v>
      </c>
      <c r="D8" t="s">
        <v>24</v>
      </c>
      <c r="E8">
        <v>4168</v>
      </c>
      <c r="F8" t="s">
        <v>14</v>
      </c>
      <c r="G8">
        <v>7</v>
      </c>
      <c r="H8">
        <v>907.58</v>
      </c>
      <c r="I8">
        <v>34</v>
      </c>
      <c r="J8">
        <f t="shared" si="0"/>
        <v>30857.72</v>
      </c>
      <c r="L8" t="s">
        <v>49</v>
      </c>
      <c r="M8">
        <f>SUM(M3:M7)</f>
        <v>3724</v>
      </c>
      <c r="N8">
        <f>SUM(N3:N7)</f>
        <v>306.6357142857143</v>
      </c>
      <c r="O8">
        <f>SUM(O3:O7)</f>
        <v>7865964.4900000002</v>
      </c>
      <c r="P8">
        <f>SUM(P3:P7)</f>
        <v>660875.48892857134</v>
      </c>
    </row>
    <row r="9" spans="1:16" x14ac:dyDescent="0.35">
      <c r="A9">
        <v>167</v>
      </c>
      <c r="B9" t="s">
        <v>15</v>
      </c>
      <c r="C9" t="s">
        <v>23</v>
      </c>
      <c r="D9" t="s">
        <v>24</v>
      </c>
      <c r="E9">
        <v>5059</v>
      </c>
      <c r="F9" t="s">
        <v>14</v>
      </c>
      <c r="G9">
        <v>3</v>
      </c>
      <c r="H9">
        <v>1407.07</v>
      </c>
      <c r="I9">
        <v>57</v>
      </c>
      <c r="J9">
        <f t="shared" si="0"/>
        <v>80202.989999999991</v>
      </c>
    </row>
    <row r="10" spans="1:16" x14ac:dyDescent="0.35">
      <c r="A10">
        <v>203</v>
      </c>
      <c r="B10" t="s">
        <v>15</v>
      </c>
      <c r="C10" t="s">
        <v>20</v>
      </c>
      <c r="D10" t="s">
        <v>12</v>
      </c>
      <c r="E10">
        <v>637</v>
      </c>
      <c r="F10" t="s">
        <v>14</v>
      </c>
      <c r="G10">
        <v>115</v>
      </c>
      <c r="H10">
        <v>8559.08</v>
      </c>
      <c r="I10">
        <v>159</v>
      </c>
      <c r="J10">
        <f t="shared" si="0"/>
        <v>1360893.72</v>
      </c>
    </row>
    <row r="11" spans="1:16" x14ac:dyDescent="0.35">
      <c r="A11">
        <v>213</v>
      </c>
      <c r="B11" t="s">
        <v>15</v>
      </c>
      <c r="C11" t="s">
        <v>22</v>
      </c>
      <c r="D11" t="s">
        <v>12</v>
      </c>
      <c r="E11">
        <v>6355</v>
      </c>
      <c r="F11" t="s">
        <v>14</v>
      </c>
      <c r="G11">
        <v>90</v>
      </c>
      <c r="H11">
        <v>2085.04</v>
      </c>
      <c r="I11">
        <v>77</v>
      </c>
      <c r="J11">
        <f t="shared" si="0"/>
        <v>160548.07999999999</v>
      </c>
      <c r="L11" t="s">
        <v>38</v>
      </c>
    </row>
    <row r="12" spans="1:16" x14ac:dyDescent="0.35">
      <c r="A12">
        <v>28</v>
      </c>
      <c r="B12" t="s">
        <v>15</v>
      </c>
      <c r="C12" t="s">
        <v>17</v>
      </c>
      <c r="D12" t="s">
        <v>16</v>
      </c>
      <c r="E12">
        <v>10297</v>
      </c>
      <c r="F12" t="s">
        <v>10</v>
      </c>
      <c r="G12">
        <v>93</v>
      </c>
      <c r="H12">
        <v>3229.28</v>
      </c>
      <c r="I12">
        <v>63</v>
      </c>
      <c r="J12">
        <f t="shared" si="0"/>
        <v>203444.64</v>
      </c>
    </row>
    <row r="13" spans="1:16" x14ac:dyDescent="0.35">
      <c r="A13">
        <v>46</v>
      </c>
      <c r="B13" t="s">
        <v>15</v>
      </c>
      <c r="C13" t="s">
        <v>16</v>
      </c>
      <c r="D13" t="s">
        <v>9</v>
      </c>
      <c r="E13">
        <v>2652</v>
      </c>
      <c r="F13" t="s">
        <v>10</v>
      </c>
      <c r="G13">
        <v>39</v>
      </c>
      <c r="H13">
        <v>1142.3699999999999</v>
      </c>
      <c r="I13">
        <v>174</v>
      </c>
      <c r="J13">
        <f t="shared" si="0"/>
        <v>198772.37999999998</v>
      </c>
      <c r="L13" t="s">
        <v>45</v>
      </c>
    </row>
    <row r="14" spans="1:16" x14ac:dyDescent="0.35">
      <c r="A14">
        <v>48</v>
      </c>
      <c r="B14" t="s">
        <v>15</v>
      </c>
      <c r="C14" t="s">
        <v>20</v>
      </c>
      <c r="D14" t="s">
        <v>9</v>
      </c>
      <c r="E14">
        <v>3448</v>
      </c>
      <c r="F14" t="s">
        <v>10</v>
      </c>
      <c r="G14">
        <v>15</v>
      </c>
      <c r="H14">
        <v>844.79</v>
      </c>
      <c r="I14">
        <v>134</v>
      </c>
      <c r="J14">
        <f t="shared" si="0"/>
        <v>113201.86</v>
      </c>
      <c r="L14" t="s">
        <v>41</v>
      </c>
      <c r="N14" t="s">
        <v>42</v>
      </c>
    </row>
    <row r="15" spans="1:16" x14ac:dyDescent="0.35">
      <c r="A15">
        <v>71</v>
      </c>
      <c r="B15" t="s">
        <v>15</v>
      </c>
      <c r="C15" t="s">
        <v>23</v>
      </c>
      <c r="D15" t="s">
        <v>17</v>
      </c>
      <c r="E15">
        <v>3485</v>
      </c>
      <c r="F15" t="s">
        <v>10</v>
      </c>
      <c r="G15">
        <v>95</v>
      </c>
      <c r="H15">
        <v>3977.68</v>
      </c>
      <c r="I15">
        <v>17</v>
      </c>
      <c r="J15">
        <f t="shared" si="0"/>
        <v>67620.56</v>
      </c>
      <c r="L15" t="s">
        <v>32</v>
      </c>
      <c r="M15">
        <f>M5-M3</f>
        <v>659</v>
      </c>
      <c r="N15" t="s">
        <v>34</v>
      </c>
      <c r="O15">
        <f>O5-O3</f>
        <v>357293.5</v>
      </c>
    </row>
    <row r="16" spans="1:16" x14ac:dyDescent="0.35">
      <c r="A16">
        <v>81</v>
      </c>
      <c r="B16" t="s">
        <v>15</v>
      </c>
      <c r="C16" t="s">
        <v>13</v>
      </c>
      <c r="D16" t="s">
        <v>16</v>
      </c>
      <c r="E16">
        <v>10236</v>
      </c>
      <c r="F16" t="s">
        <v>10</v>
      </c>
      <c r="G16">
        <v>13</v>
      </c>
      <c r="H16">
        <v>1086.8900000000001</v>
      </c>
      <c r="I16">
        <v>37</v>
      </c>
      <c r="J16">
        <f t="shared" si="0"/>
        <v>40214.93</v>
      </c>
      <c r="L16" t="s">
        <v>33</v>
      </c>
      <c r="M16">
        <f>N5-N3</f>
        <v>22.185714285714297</v>
      </c>
      <c r="N16" t="s">
        <v>35</v>
      </c>
      <c r="O16">
        <f>P3-P5</f>
        <v>32270.68857142856</v>
      </c>
    </row>
    <row r="17" spans="1:15" x14ac:dyDescent="0.35">
      <c r="A17">
        <v>99</v>
      </c>
      <c r="B17" t="s">
        <v>15</v>
      </c>
      <c r="C17" t="s">
        <v>8</v>
      </c>
      <c r="D17" t="s">
        <v>20</v>
      </c>
      <c r="E17">
        <v>1168</v>
      </c>
      <c r="F17" t="s">
        <v>10</v>
      </c>
      <c r="G17">
        <v>27</v>
      </c>
      <c r="H17">
        <v>2267.1799999999998</v>
      </c>
      <c r="I17">
        <v>199</v>
      </c>
      <c r="J17">
        <f t="shared" si="0"/>
        <v>451168.81999999995</v>
      </c>
    </row>
    <row r="18" spans="1:15" x14ac:dyDescent="0.35">
      <c r="A18">
        <v>102</v>
      </c>
      <c r="B18" t="s">
        <v>15</v>
      </c>
      <c r="C18" t="s">
        <v>8</v>
      </c>
      <c r="D18" t="s">
        <v>24</v>
      </c>
      <c r="E18">
        <v>8838</v>
      </c>
      <c r="F18" t="s">
        <v>10</v>
      </c>
      <c r="G18">
        <v>62</v>
      </c>
      <c r="H18">
        <v>863.15</v>
      </c>
      <c r="I18">
        <v>83</v>
      </c>
      <c r="J18">
        <f t="shared" si="0"/>
        <v>71641.45</v>
      </c>
      <c r="L18" t="s">
        <v>46</v>
      </c>
    </row>
    <row r="19" spans="1:15" x14ac:dyDescent="0.35">
      <c r="A19">
        <v>137</v>
      </c>
      <c r="B19" t="s">
        <v>15</v>
      </c>
      <c r="C19" t="s">
        <v>24</v>
      </c>
      <c r="D19" t="s">
        <v>17</v>
      </c>
      <c r="E19">
        <v>4918</v>
      </c>
      <c r="F19" t="s">
        <v>10</v>
      </c>
      <c r="G19">
        <v>101</v>
      </c>
      <c r="H19">
        <v>988.75</v>
      </c>
      <c r="I19">
        <v>156</v>
      </c>
      <c r="J19">
        <f t="shared" si="0"/>
        <v>154245</v>
      </c>
      <c r="L19" t="s">
        <v>41</v>
      </c>
      <c r="N19" t="s">
        <v>42</v>
      </c>
    </row>
    <row r="20" spans="1:15" x14ac:dyDescent="0.35">
      <c r="A20">
        <v>159</v>
      </c>
      <c r="B20" t="s">
        <v>15</v>
      </c>
      <c r="C20" t="s">
        <v>20</v>
      </c>
      <c r="D20" t="s">
        <v>17</v>
      </c>
      <c r="E20">
        <v>4772</v>
      </c>
      <c r="F20" t="s">
        <v>10</v>
      </c>
      <c r="G20">
        <v>82</v>
      </c>
      <c r="H20">
        <v>717.41</v>
      </c>
      <c r="I20">
        <v>148</v>
      </c>
      <c r="J20">
        <f t="shared" si="0"/>
        <v>106176.68</v>
      </c>
      <c r="L20" t="s">
        <v>32</v>
      </c>
      <c r="M20">
        <f>M7-M3</f>
        <v>452</v>
      </c>
      <c r="N20" t="s">
        <v>34</v>
      </c>
      <c r="O20">
        <f>O7-O3</f>
        <v>1440547.44</v>
      </c>
    </row>
    <row r="21" spans="1:15" x14ac:dyDescent="0.35">
      <c r="A21">
        <v>160</v>
      </c>
      <c r="B21" t="s">
        <v>15</v>
      </c>
      <c r="C21" t="s">
        <v>20</v>
      </c>
      <c r="D21" t="s">
        <v>17</v>
      </c>
      <c r="E21">
        <v>5319</v>
      </c>
      <c r="F21" t="s">
        <v>10</v>
      </c>
      <c r="G21">
        <v>15</v>
      </c>
      <c r="H21">
        <v>2704.53</v>
      </c>
      <c r="I21">
        <v>82</v>
      </c>
      <c r="J21">
        <f t="shared" si="0"/>
        <v>221771.46000000002</v>
      </c>
      <c r="L21" t="s">
        <v>33</v>
      </c>
      <c r="M21">
        <f>N7-N3</f>
        <v>23.150000000000006</v>
      </c>
      <c r="N21" t="s">
        <v>35</v>
      </c>
      <c r="O21">
        <f>P7-P3</f>
        <v>86333.82249999998</v>
      </c>
    </row>
    <row r="22" spans="1:15" x14ac:dyDescent="0.35">
      <c r="A22">
        <v>193</v>
      </c>
      <c r="B22" t="s">
        <v>15</v>
      </c>
      <c r="C22" t="s">
        <v>9</v>
      </c>
      <c r="D22" t="s">
        <v>12</v>
      </c>
      <c r="E22">
        <v>7993</v>
      </c>
      <c r="F22" t="s">
        <v>10</v>
      </c>
      <c r="G22">
        <v>55</v>
      </c>
      <c r="H22">
        <v>1952.84</v>
      </c>
      <c r="I22">
        <v>61</v>
      </c>
      <c r="J22">
        <f t="shared" si="0"/>
        <v>119123.23999999999</v>
      </c>
    </row>
    <row r="23" spans="1:15" x14ac:dyDescent="0.35">
      <c r="A23">
        <v>208</v>
      </c>
      <c r="B23" t="s">
        <v>15</v>
      </c>
      <c r="C23" t="s">
        <v>24</v>
      </c>
      <c r="D23" t="s">
        <v>22</v>
      </c>
      <c r="E23">
        <v>10371</v>
      </c>
      <c r="F23" t="s">
        <v>10</v>
      </c>
      <c r="G23">
        <v>101</v>
      </c>
      <c r="H23">
        <v>532.94000000000005</v>
      </c>
      <c r="I23">
        <v>194</v>
      </c>
      <c r="J23">
        <f t="shared" si="0"/>
        <v>103390.36000000002</v>
      </c>
      <c r="L23" t="s">
        <v>47</v>
      </c>
    </row>
    <row r="24" spans="1:15" x14ac:dyDescent="0.35">
      <c r="A24">
        <v>209</v>
      </c>
      <c r="B24" t="s">
        <v>15</v>
      </c>
      <c r="C24" t="s">
        <v>20</v>
      </c>
      <c r="D24" t="s">
        <v>24</v>
      </c>
      <c r="E24">
        <v>966</v>
      </c>
      <c r="F24" t="s">
        <v>10</v>
      </c>
      <c r="G24">
        <v>4</v>
      </c>
      <c r="H24">
        <v>4045.74</v>
      </c>
      <c r="I24">
        <v>43</v>
      </c>
      <c r="J24">
        <f t="shared" si="0"/>
        <v>173966.81999999998</v>
      </c>
      <c r="L24" t="s">
        <v>41</v>
      </c>
      <c r="N24" t="s">
        <v>40</v>
      </c>
    </row>
    <row r="25" spans="1:15" x14ac:dyDescent="0.35">
      <c r="A25">
        <v>234</v>
      </c>
      <c r="B25" t="s">
        <v>15</v>
      </c>
      <c r="C25" t="s">
        <v>20</v>
      </c>
      <c r="D25" t="s">
        <v>24</v>
      </c>
      <c r="E25">
        <v>7886</v>
      </c>
      <c r="F25" t="s">
        <v>10</v>
      </c>
      <c r="G25">
        <v>25</v>
      </c>
      <c r="H25">
        <v>2555.85</v>
      </c>
      <c r="I25">
        <v>139</v>
      </c>
      <c r="J25">
        <f t="shared" si="0"/>
        <v>355263.14999999997</v>
      </c>
      <c r="L25" t="s">
        <v>32</v>
      </c>
      <c r="M25">
        <f>M5-M7</f>
        <v>207</v>
      </c>
      <c r="N25" t="s">
        <v>34</v>
      </c>
      <c r="O25">
        <f>O7-O5</f>
        <v>1083253.94</v>
      </c>
    </row>
    <row r="26" spans="1:15" x14ac:dyDescent="0.35">
      <c r="A26">
        <v>3</v>
      </c>
      <c r="B26" t="s">
        <v>15</v>
      </c>
      <c r="C26" t="s">
        <v>16</v>
      </c>
      <c r="D26" t="s">
        <v>17</v>
      </c>
      <c r="E26">
        <v>2698</v>
      </c>
      <c r="F26" t="s">
        <v>18</v>
      </c>
      <c r="G26">
        <v>21</v>
      </c>
      <c r="H26">
        <v>3606.08</v>
      </c>
      <c r="I26">
        <v>134</v>
      </c>
      <c r="J26">
        <f t="shared" si="0"/>
        <v>483214.72</v>
      </c>
      <c r="L26" t="s">
        <v>33</v>
      </c>
      <c r="M26">
        <f>N7-N5</f>
        <v>0.9642857142857082</v>
      </c>
      <c r="N26" t="s">
        <v>48</v>
      </c>
      <c r="O26">
        <f>P7-P5</f>
        <v>118604.51107142854</v>
      </c>
    </row>
    <row r="27" spans="1:15" x14ac:dyDescent="0.35">
      <c r="A27">
        <v>41</v>
      </c>
      <c r="B27" t="s">
        <v>15</v>
      </c>
      <c r="C27" t="s">
        <v>13</v>
      </c>
      <c r="D27" t="s">
        <v>9</v>
      </c>
      <c r="E27">
        <v>8451</v>
      </c>
      <c r="F27" t="s">
        <v>18</v>
      </c>
      <c r="G27">
        <v>4</v>
      </c>
      <c r="H27">
        <v>3088.65</v>
      </c>
      <c r="I27">
        <v>154</v>
      </c>
      <c r="J27">
        <f t="shared" si="0"/>
        <v>475652.10000000003</v>
      </c>
    </row>
    <row r="28" spans="1:15" x14ac:dyDescent="0.35">
      <c r="A28">
        <v>60</v>
      </c>
      <c r="B28" t="s">
        <v>15</v>
      </c>
      <c r="C28" t="s">
        <v>13</v>
      </c>
      <c r="D28" t="s">
        <v>9</v>
      </c>
      <c r="E28">
        <v>4868</v>
      </c>
      <c r="F28" t="s">
        <v>18</v>
      </c>
      <c r="G28">
        <v>81</v>
      </c>
      <c r="H28">
        <v>6581.19</v>
      </c>
      <c r="I28">
        <v>135</v>
      </c>
      <c r="J28">
        <f t="shared" si="0"/>
        <v>888460.64999999991</v>
      </c>
    </row>
    <row r="29" spans="1:15" x14ac:dyDescent="0.35">
      <c r="A29">
        <v>113</v>
      </c>
      <c r="B29" t="s">
        <v>15</v>
      </c>
      <c r="C29" t="s">
        <v>12</v>
      </c>
      <c r="D29" t="s">
        <v>16</v>
      </c>
      <c r="E29">
        <v>7074</v>
      </c>
      <c r="F29" t="s">
        <v>18</v>
      </c>
      <c r="G29">
        <v>97</v>
      </c>
      <c r="H29">
        <v>522.34</v>
      </c>
      <c r="I29">
        <v>49</v>
      </c>
      <c r="J29">
        <f t="shared" si="0"/>
        <v>25594.66</v>
      </c>
    </row>
    <row r="30" spans="1:15" x14ac:dyDescent="0.35">
      <c r="A30">
        <v>127</v>
      </c>
      <c r="B30" t="s">
        <v>15</v>
      </c>
      <c r="C30" t="s">
        <v>22</v>
      </c>
      <c r="D30" t="s">
        <v>17</v>
      </c>
      <c r="E30">
        <v>5010</v>
      </c>
      <c r="F30" t="s">
        <v>18</v>
      </c>
      <c r="G30">
        <v>106</v>
      </c>
      <c r="H30">
        <v>4532.22</v>
      </c>
      <c r="I30">
        <v>57</v>
      </c>
      <c r="J30">
        <f t="shared" si="0"/>
        <v>258336.54</v>
      </c>
    </row>
    <row r="31" spans="1:15" x14ac:dyDescent="0.35">
      <c r="A31">
        <v>162</v>
      </c>
      <c r="B31" t="s">
        <v>15</v>
      </c>
      <c r="C31" t="s">
        <v>17</v>
      </c>
      <c r="D31" t="s">
        <v>23</v>
      </c>
      <c r="E31">
        <v>9279</v>
      </c>
      <c r="F31" t="s">
        <v>18</v>
      </c>
      <c r="G31">
        <v>98</v>
      </c>
      <c r="H31">
        <v>711.26</v>
      </c>
      <c r="I31">
        <v>195</v>
      </c>
      <c r="J31">
        <f t="shared" si="0"/>
        <v>138695.70000000001</v>
      </c>
    </row>
    <row r="32" spans="1:15" x14ac:dyDescent="0.35">
      <c r="A32">
        <v>170</v>
      </c>
      <c r="B32" t="s">
        <v>15</v>
      </c>
      <c r="C32" t="s">
        <v>20</v>
      </c>
      <c r="D32" t="s">
        <v>13</v>
      </c>
      <c r="E32">
        <v>9263</v>
      </c>
      <c r="F32" t="s">
        <v>18</v>
      </c>
      <c r="G32">
        <v>20</v>
      </c>
      <c r="H32">
        <v>556.44000000000005</v>
      </c>
      <c r="I32">
        <v>9</v>
      </c>
      <c r="J32">
        <f t="shared" si="0"/>
        <v>5007.9600000000009</v>
      </c>
    </row>
    <row r="33" spans="1:10" x14ac:dyDescent="0.35">
      <c r="A33">
        <v>184</v>
      </c>
      <c r="B33" t="s">
        <v>15</v>
      </c>
      <c r="C33" t="s">
        <v>23</v>
      </c>
      <c r="D33" t="s">
        <v>20</v>
      </c>
      <c r="E33">
        <v>903</v>
      </c>
      <c r="F33" t="s">
        <v>18</v>
      </c>
      <c r="G33">
        <v>52</v>
      </c>
      <c r="H33">
        <v>3786.09</v>
      </c>
      <c r="I33">
        <v>147</v>
      </c>
      <c r="J33">
        <f t="shared" si="0"/>
        <v>556555.23</v>
      </c>
    </row>
    <row r="34" spans="1:10" x14ac:dyDescent="0.35">
      <c r="A34">
        <v>190</v>
      </c>
      <c r="B34" t="s">
        <v>15</v>
      </c>
      <c r="C34" t="s">
        <v>22</v>
      </c>
      <c r="D34" t="s">
        <v>13</v>
      </c>
      <c r="E34">
        <v>10590</v>
      </c>
      <c r="F34" t="s">
        <v>18</v>
      </c>
      <c r="G34">
        <v>30</v>
      </c>
      <c r="H34">
        <v>134.76</v>
      </c>
      <c r="I34">
        <v>163</v>
      </c>
      <c r="J34">
        <f t="shared" si="0"/>
        <v>21965.879999999997</v>
      </c>
    </row>
    <row r="35" spans="1:10" x14ac:dyDescent="0.35">
      <c r="A35">
        <v>204</v>
      </c>
      <c r="B35" t="s">
        <v>15</v>
      </c>
      <c r="C35" t="s">
        <v>17</v>
      </c>
      <c r="D35" t="s">
        <v>23</v>
      </c>
      <c r="E35">
        <v>2639</v>
      </c>
      <c r="F35" t="s">
        <v>18</v>
      </c>
      <c r="G35">
        <v>54</v>
      </c>
      <c r="H35">
        <v>2912.55</v>
      </c>
      <c r="I35">
        <v>149</v>
      </c>
      <c r="J35">
        <f t="shared" si="0"/>
        <v>433969.95</v>
      </c>
    </row>
    <row r="36" spans="1:10" x14ac:dyDescent="0.35">
      <c r="A36">
        <v>226</v>
      </c>
      <c r="B36" t="s">
        <v>15</v>
      </c>
      <c r="C36" t="s">
        <v>9</v>
      </c>
      <c r="D36" t="s">
        <v>16</v>
      </c>
      <c r="E36">
        <v>2224</v>
      </c>
      <c r="F36" t="s">
        <v>18</v>
      </c>
      <c r="G36">
        <v>84</v>
      </c>
      <c r="H36">
        <v>106.07</v>
      </c>
      <c r="I36">
        <v>28</v>
      </c>
      <c r="J36">
        <f t="shared" si="0"/>
        <v>2969.96</v>
      </c>
    </row>
    <row r="37" spans="1:10" x14ac:dyDescent="0.35">
      <c r="A37">
        <v>242</v>
      </c>
      <c r="B37" t="s">
        <v>15</v>
      </c>
      <c r="C37" t="s">
        <v>13</v>
      </c>
      <c r="D37" t="s">
        <v>9</v>
      </c>
      <c r="E37">
        <v>2551</v>
      </c>
      <c r="F37" t="s">
        <v>18</v>
      </c>
      <c r="G37">
        <v>34</v>
      </c>
      <c r="H37">
        <v>1677.98</v>
      </c>
      <c r="I37">
        <v>103</v>
      </c>
      <c r="J37">
        <f t="shared" si="0"/>
        <v>172831.94</v>
      </c>
    </row>
  </sheetData>
  <pageMargins left="0.7" right="0.7" top="0.75" bottom="0.75" header="0.3" footer="0.3"/>
  <ignoredErrors>
    <ignoredError sqref="M3:N3 M5:N5 M7:N7"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3F8F4-7E47-4C19-A9F5-F822034F0D4A}">
  <dimension ref="A1:P33"/>
  <sheetViews>
    <sheetView topLeftCell="B1" workbookViewId="0">
      <selection activeCell="O11" sqref="O11"/>
    </sheetView>
  </sheetViews>
  <sheetFormatPr defaultRowHeight="14.5" x14ac:dyDescent="0.35"/>
  <cols>
    <col min="10" max="10" width="14.26953125" customWidth="1"/>
    <col min="12" max="12" width="13.453125" customWidth="1"/>
    <col min="13" max="13" width="11" customWidth="1"/>
    <col min="14" max="14" width="15.81640625" customWidth="1"/>
    <col min="15" max="15" width="12.36328125" customWidth="1"/>
    <col min="16" max="16" width="14.90625" customWidth="1"/>
  </cols>
  <sheetData>
    <row r="1" spans="1:16" x14ac:dyDescent="0.35">
      <c r="A1" t="s">
        <v>0</v>
      </c>
      <c r="B1" t="s">
        <v>1</v>
      </c>
      <c r="C1" t="s">
        <v>2</v>
      </c>
      <c r="D1" t="s">
        <v>3</v>
      </c>
      <c r="E1" t="s">
        <v>4</v>
      </c>
      <c r="F1" t="s">
        <v>5</v>
      </c>
      <c r="G1" t="s">
        <v>6</v>
      </c>
      <c r="H1" t="s">
        <v>7</v>
      </c>
      <c r="I1" t="s">
        <v>26</v>
      </c>
      <c r="J1" t="s">
        <v>27</v>
      </c>
      <c r="L1" t="s">
        <v>5</v>
      </c>
      <c r="M1" t="s">
        <v>32</v>
      </c>
      <c r="N1" t="s">
        <v>33</v>
      </c>
      <c r="O1" t="s">
        <v>34</v>
      </c>
      <c r="P1" t="s">
        <v>35</v>
      </c>
    </row>
    <row r="2" spans="1:16" x14ac:dyDescent="0.35">
      <c r="A2">
        <v>51</v>
      </c>
      <c r="B2" t="s">
        <v>19</v>
      </c>
      <c r="C2" t="s">
        <v>24</v>
      </c>
      <c r="D2" t="s">
        <v>12</v>
      </c>
      <c r="E2">
        <v>10191</v>
      </c>
      <c r="F2" t="s">
        <v>14</v>
      </c>
      <c r="G2">
        <v>20</v>
      </c>
      <c r="H2">
        <v>380.98</v>
      </c>
      <c r="I2">
        <v>99</v>
      </c>
      <c r="J2">
        <f t="shared" ref="J2:J33" si="0">H2*I2</f>
        <v>37717.020000000004</v>
      </c>
    </row>
    <row r="3" spans="1:16" x14ac:dyDescent="0.35">
      <c r="A3">
        <v>136</v>
      </c>
      <c r="B3" t="s">
        <v>19</v>
      </c>
      <c r="C3" t="s">
        <v>9</v>
      </c>
      <c r="D3" t="s">
        <v>22</v>
      </c>
      <c r="E3">
        <v>10255</v>
      </c>
      <c r="F3" t="s">
        <v>14</v>
      </c>
      <c r="G3">
        <v>94</v>
      </c>
      <c r="H3">
        <v>650.83000000000004</v>
      </c>
      <c r="I3">
        <v>126</v>
      </c>
      <c r="J3">
        <f t="shared" si="0"/>
        <v>82004.58</v>
      </c>
      <c r="L3" t="s">
        <v>14</v>
      </c>
      <c r="M3">
        <f>SUM(I2:I8)</f>
        <v>520</v>
      </c>
      <c r="N3">
        <f>AVERAGE(I2:I8)</f>
        <v>74.285714285714292</v>
      </c>
      <c r="O3">
        <f>SUM(J2:J8)</f>
        <v>587435.69999999995</v>
      </c>
      <c r="P3">
        <f>AVERAGE(J2:J8)</f>
        <v>83919.385714285701</v>
      </c>
    </row>
    <row r="4" spans="1:16" x14ac:dyDescent="0.35">
      <c r="A4">
        <v>143</v>
      </c>
      <c r="B4" t="s">
        <v>19</v>
      </c>
      <c r="C4" t="s">
        <v>20</v>
      </c>
      <c r="D4" t="s">
        <v>24</v>
      </c>
      <c r="E4">
        <v>8474</v>
      </c>
      <c r="F4" t="s">
        <v>14</v>
      </c>
      <c r="G4">
        <v>108</v>
      </c>
      <c r="H4">
        <v>942.15</v>
      </c>
      <c r="I4">
        <v>80</v>
      </c>
      <c r="J4">
        <f t="shared" si="0"/>
        <v>75372</v>
      </c>
    </row>
    <row r="5" spans="1:16" x14ac:dyDescent="0.35">
      <c r="A5">
        <v>185</v>
      </c>
      <c r="B5" t="s">
        <v>19</v>
      </c>
      <c r="C5" t="s">
        <v>9</v>
      </c>
      <c r="D5" t="s">
        <v>17</v>
      </c>
      <c r="E5">
        <v>11720</v>
      </c>
      <c r="F5" t="s">
        <v>14</v>
      </c>
      <c r="G5">
        <v>45</v>
      </c>
      <c r="H5">
        <v>2297.9699999999998</v>
      </c>
      <c r="I5">
        <v>164</v>
      </c>
      <c r="J5">
        <f t="shared" si="0"/>
        <v>376867.07999999996</v>
      </c>
      <c r="L5" t="s">
        <v>10</v>
      </c>
      <c r="M5">
        <f>SUM(I9:I23)</f>
        <v>1529</v>
      </c>
      <c r="N5">
        <f>AVERAGE(H9:H23)</f>
        <v>1761.7993333333334</v>
      </c>
      <c r="O5">
        <f>SUM(J9:J23)</f>
        <v>2487199.2200000002</v>
      </c>
      <c r="P5">
        <f>AVERAGE(J9:J23)</f>
        <v>165813.28133333335</v>
      </c>
    </row>
    <row r="6" spans="1:16" x14ac:dyDescent="0.35">
      <c r="A6">
        <v>205</v>
      </c>
      <c r="B6" t="s">
        <v>19</v>
      </c>
      <c r="C6" t="s">
        <v>8</v>
      </c>
      <c r="D6" t="s">
        <v>9</v>
      </c>
      <c r="E6">
        <v>623</v>
      </c>
      <c r="F6" t="s">
        <v>14</v>
      </c>
      <c r="G6">
        <v>58</v>
      </c>
      <c r="H6">
        <v>354.7</v>
      </c>
      <c r="I6">
        <v>22</v>
      </c>
      <c r="J6">
        <f t="shared" si="0"/>
        <v>7803.4</v>
      </c>
    </row>
    <row r="7" spans="1:16" x14ac:dyDescent="0.35">
      <c r="A7">
        <v>207</v>
      </c>
      <c r="B7" t="s">
        <v>19</v>
      </c>
      <c r="C7" t="s">
        <v>12</v>
      </c>
      <c r="D7" t="s">
        <v>23</v>
      </c>
      <c r="E7">
        <v>444</v>
      </c>
      <c r="F7" t="s">
        <v>14</v>
      </c>
      <c r="G7">
        <v>93</v>
      </c>
      <c r="H7">
        <v>245.53</v>
      </c>
      <c r="I7">
        <v>24</v>
      </c>
      <c r="J7">
        <f t="shared" si="0"/>
        <v>5892.72</v>
      </c>
      <c r="L7" t="s">
        <v>18</v>
      </c>
      <c r="M7">
        <f>SUM(I24:I33)</f>
        <v>1011</v>
      </c>
      <c r="N7">
        <f>AVERAGE(I24:I33)</f>
        <v>101.1</v>
      </c>
      <c r="O7">
        <f>SUM(J24:J33)</f>
        <v>1562497.13</v>
      </c>
      <c r="P7">
        <f>AVERAGE(J24:J33)</f>
        <v>156249.71299999999</v>
      </c>
    </row>
    <row r="8" spans="1:16" x14ac:dyDescent="0.35">
      <c r="A8">
        <v>233</v>
      </c>
      <c r="B8" t="s">
        <v>19</v>
      </c>
      <c r="C8" t="s">
        <v>9</v>
      </c>
      <c r="D8" t="s">
        <v>22</v>
      </c>
      <c r="E8">
        <v>4278</v>
      </c>
      <c r="F8" t="s">
        <v>14</v>
      </c>
      <c r="G8">
        <v>43</v>
      </c>
      <c r="H8">
        <v>355.78</v>
      </c>
      <c r="I8">
        <v>5</v>
      </c>
      <c r="J8">
        <f t="shared" si="0"/>
        <v>1778.8999999999999</v>
      </c>
      <c r="L8" t="s">
        <v>49</v>
      </c>
      <c r="M8">
        <f>M3+M5+M7</f>
        <v>3060</v>
      </c>
      <c r="N8">
        <f>SUM(N3:N7)</f>
        <v>1937.1850476190475</v>
      </c>
      <c r="O8">
        <f>SUM(O3:O7)</f>
        <v>4637132.05</v>
      </c>
      <c r="P8">
        <f>SUM(P3:P7)</f>
        <v>405982.38004761905</v>
      </c>
    </row>
    <row r="9" spans="1:16" x14ac:dyDescent="0.35">
      <c r="A9">
        <v>7</v>
      </c>
      <c r="B9" t="s">
        <v>19</v>
      </c>
      <c r="C9" t="s">
        <v>22</v>
      </c>
      <c r="D9" t="s">
        <v>16</v>
      </c>
      <c r="E9">
        <v>3506</v>
      </c>
      <c r="F9" t="s">
        <v>10</v>
      </c>
      <c r="G9">
        <v>85</v>
      </c>
      <c r="H9">
        <v>2073.14</v>
      </c>
      <c r="I9">
        <v>101</v>
      </c>
      <c r="J9">
        <f t="shared" si="0"/>
        <v>209387.13999999998</v>
      </c>
    </row>
    <row r="10" spans="1:16" x14ac:dyDescent="0.35">
      <c r="A10">
        <v>24</v>
      </c>
      <c r="B10" t="s">
        <v>19</v>
      </c>
      <c r="C10" t="s">
        <v>12</v>
      </c>
      <c r="D10" t="s">
        <v>13</v>
      </c>
      <c r="E10">
        <v>440</v>
      </c>
      <c r="F10" t="s">
        <v>10</v>
      </c>
      <c r="G10">
        <v>86</v>
      </c>
      <c r="H10">
        <v>498.29</v>
      </c>
      <c r="I10">
        <v>145</v>
      </c>
      <c r="J10">
        <f t="shared" si="0"/>
        <v>72252.05</v>
      </c>
    </row>
    <row r="11" spans="1:16" x14ac:dyDescent="0.35">
      <c r="A11">
        <v>38</v>
      </c>
      <c r="B11" t="s">
        <v>19</v>
      </c>
      <c r="C11" t="s">
        <v>23</v>
      </c>
      <c r="D11" t="s">
        <v>12</v>
      </c>
      <c r="E11">
        <v>9282</v>
      </c>
      <c r="F11" t="s">
        <v>10</v>
      </c>
      <c r="G11">
        <v>111</v>
      </c>
      <c r="H11">
        <v>597.5</v>
      </c>
      <c r="I11">
        <v>154</v>
      </c>
      <c r="J11">
        <f t="shared" si="0"/>
        <v>92015</v>
      </c>
      <c r="L11" t="s">
        <v>38</v>
      </c>
    </row>
    <row r="12" spans="1:16" x14ac:dyDescent="0.35">
      <c r="A12">
        <v>39</v>
      </c>
      <c r="B12" t="s">
        <v>19</v>
      </c>
      <c r="C12" t="s">
        <v>9</v>
      </c>
      <c r="D12" t="s">
        <v>12</v>
      </c>
      <c r="E12">
        <v>3605</v>
      </c>
      <c r="F12" t="s">
        <v>10</v>
      </c>
      <c r="G12">
        <v>19</v>
      </c>
      <c r="H12">
        <v>1444.13</v>
      </c>
      <c r="I12">
        <v>52</v>
      </c>
      <c r="J12">
        <f t="shared" si="0"/>
        <v>75094.760000000009</v>
      </c>
    </row>
    <row r="13" spans="1:16" x14ac:dyDescent="0.35">
      <c r="A13">
        <v>44</v>
      </c>
      <c r="B13" t="s">
        <v>19</v>
      </c>
      <c r="C13" t="s">
        <v>23</v>
      </c>
      <c r="D13" t="s">
        <v>13</v>
      </c>
      <c r="E13">
        <v>5881</v>
      </c>
      <c r="F13" t="s">
        <v>10</v>
      </c>
      <c r="G13">
        <v>33</v>
      </c>
      <c r="H13">
        <v>905.78</v>
      </c>
      <c r="I13">
        <v>72</v>
      </c>
      <c r="J13">
        <f t="shared" si="0"/>
        <v>65216.159999999996</v>
      </c>
      <c r="L13" t="s">
        <v>39</v>
      </c>
    </row>
    <row r="14" spans="1:16" x14ac:dyDescent="0.35">
      <c r="A14">
        <v>50</v>
      </c>
      <c r="B14" t="s">
        <v>19</v>
      </c>
      <c r="C14" t="s">
        <v>17</v>
      </c>
      <c r="D14" t="s">
        <v>23</v>
      </c>
      <c r="E14">
        <v>3696</v>
      </c>
      <c r="F14" t="s">
        <v>10</v>
      </c>
      <c r="G14">
        <v>6</v>
      </c>
      <c r="H14">
        <v>631.08000000000004</v>
      </c>
      <c r="I14">
        <v>114</v>
      </c>
      <c r="J14">
        <f t="shared" si="0"/>
        <v>71943.12000000001</v>
      </c>
      <c r="L14" t="s">
        <v>41</v>
      </c>
      <c r="N14" t="s">
        <v>42</v>
      </c>
    </row>
    <row r="15" spans="1:16" x14ac:dyDescent="0.35">
      <c r="A15">
        <v>98</v>
      </c>
      <c r="B15" t="s">
        <v>19</v>
      </c>
      <c r="C15" t="s">
        <v>23</v>
      </c>
      <c r="D15" t="s">
        <v>8</v>
      </c>
      <c r="E15">
        <v>8561</v>
      </c>
      <c r="F15" t="s">
        <v>10</v>
      </c>
      <c r="G15">
        <v>98</v>
      </c>
      <c r="H15">
        <v>775.55</v>
      </c>
      <c r="I15">
        <v>147</v>
      </c>
      <c r="J15">
        <f t="shared" si="0"/>
        <v>114005.84999999999</v>
      </c>
      <c r="L15" t="s">
        <v>32</v>
      </c>
      <c r="M15">
        <f>M5-M3</f>
        <v>1009</v>
      </c>
      <c r="N15" t="s">
        <v>34</v>
      </c>
      <c r="O15">
        <f>O5-O3</f>
        <v>1899763.5200000003</v>
      </c>
    </row>
    <row r="16" spans="1:16" x14ac:dyDescent="0.35">
      <c r="A16">
        <v>106</v>
      </c>
      <c r="B16" t="s">
        <v>19</v>
      </c>
      <c r="C16" t="s">
        <v>16</v>
      </c>
      <c r="D16" t="s">
        <v>24</v>
      </c>
      <c r="E16">
        <v>7266</v>
      </c>
      <c r="F16" t="s">
        <v>10</v>
      </c>
      <c r="G16">
        <v>62</v>
      </c>
      <c r="H16">
        <v>4160.18</v>
      </c>
      <c r="I16">
        <v>146</v>
      </c>
      <c r="J16">
        <f t="shared" si="0"/>
        <v>607386.28</v>
      </c>
      <c r="L16" t="s">
        <v>33</v>
      </c>
      <c r="M16">
        <f>N5-N3</f>
        <v>1687.5136190476192</v>
      </c>
      <c r="N16" t="s">
        <v>35</v>
      </c>
      <c r="O16">
        <f>P5-P3</f>
        <v>81893.895619047646</v>
      </c>
    </row>
    <row r="17" spans="1:15" x14ac:dyDescent="0.35">
      <c r="A17">
        <v>117</v>
      </c>
      <c r="B17" t="s">
        <v>19</v>
      </c>
      <c r="C17" t="s">
        <v>16</v>
      </c>
      <c r="D17" t="s">
        <v>23</v>
      </c>
      <c r="E17">
        <v>8817</v>
      </c>
      <c r="F17" t="s">
        <v>10</v>
      </c>
      <c r="G17">
        <v>8</v>
      </c>
      <c r="H17">
        <v>4032.71</v>
      </c>
      <c r="I17">
        <v>41</v>
      </c>
      <c r="J17">
        <f t="shared" si="0"/>
        <v>165341.11000000002</v>
      </c>
    </row>
    <row r="18" spans="1:15" x14ac:dyDescent="0.35">
      <c r="A18">
        <v>130</v>
      </c>
      <c r="B18" t="s">
        <v>19</v>
      </c>
      <c r="C18" t="s">
        <v>20</v>
      </c>
      <c r="D18" t="s">
        <v>12</v>
      </c>
      <c r="E18">
        <v>6494</v>
      </c>
      <c r="F18" t="s">
        <v>10</v>
      </c>
      <c r="G18">
        <v>5</v>
      </c>
      <c r="H18">
        <v>2284.29</v>
      </c>
      <c r="I18">
        <v>132</v>
      </c>
      <c r="J18">
        <f t="shared" si="0"/>
        <v>301526.27999999997</v>
      </c>
      <c r="L18" t="s">
        <v>46</v>
      </c>
    </row>
    <row r="19" spans="1:15" x14ac:dyDescent="0.35">
      <c r="A19">
        <v>142</v>
      </c>
      <c r="B19" t="s">
        <v>19</v>
      </c>
      <c r="C19" t="s">
        <v>23</v>
      </c>
      <c r="D19" t="s">
        <v>9</v>
      </c>
      <c r="E19">
        <v>8104</v>
      </c>
      <c r="F19" t="s">
        <v>10</v>
      </c>
      <c r="G19">
        <v>78</v>
      </c>
      <c r="H19">
        <v>2499.06</v>
      </c>
      <c r="I19">
        <v>30</v>
      </c>
      <c r="J19">
        <f t="shared" si="0"/>
        <v>74971.8</v>
      </c>
      <c r="L19" t="s">
        <v>41</v>
      </c>
      <c r="N19" t="s">
        <v>42</v>
      </c>
    </row>
    <row r="20" spans="1:15" x14ac:dyDescent="0.35">
      <c r="A20">
        <v>182</v>
      </c>
      <c r="B20" t="s">
        <v>19</v>
      </c>
      <c r="C20" t="s">
        <v>17</v>
      </c>
      <c r="D20" t="s">
        <v>12</v>
      </c>
      <c r="E20">
        <v>8765</v>
      </c>
      <c r="F20" t="s">
        <v>10</v>
      </c>
      <c r="G20">
        <v>39</v>
      </c>
      <c r="H20">
        <v>3014.65</v>
      </c>
      <c r="I20">
        <v>113</v>
      </c>
      <c r="J20">
        <f t="shared" si="0"/>
        <v>340655.45</v>
      </c>
      <c r="L20" t="s">
        <v>32</v>
      </c>
      <c r="M20">
        <f>M7-M3</f>
        <v>491</v>
      </c>
      <c r="N20" t="s">
        <v>34</v>
      </c>
      <c r="O20">
        <f>O7-O3</f>
        <v>975061.42999999993</v>
      </c>
    </row>
    <row r="21" spans="1:15" x14ac:dyDescent="0.35">
      <c r="A21">
        <v>222</v>
      </c>
      <c r="B21" t="s">
        <v>19</v>
      </c>
      <c r="C21" t="s">
        <v>24</v>
      </c>
      <c r="D21" t="s">
        <v>23</v>
      </c>
      <c r="E21">
        <v>8903</v>
      </c>
      <c r="F21" t="s">
        <v>10</v>
      </c>
      <c r="G21">
        <v>106</v>
      </c>
      <c r="H21">
        <v>1030.0999999999999</v>
      </c>
      <c r="I21">
        <v>125</v>
      </c>
      <c r="J21">
        <f t="shared" si="0"/>
        <v>128762.49999999999</v>
      </c>
      <c r="L21" t="s">
        <v>33</v>
      </c>
      <c r="M21">
        <f>N7-N3</f>
        <v>26.814285714285703</v>
      </c>
      <c r="N21" t="s">
        <v>35</v>
      </c>
      <c r="O21">
        <f>P7-P3</f>
        <v>72330.327285714287</v>
      </c>
    </row>
    <row r="22" spans="1:15" x14ac:dyDescent="0.35">
      <c r="A22">
        <v>223</v>
      </c>
      <c r="B22" t="s">
        <v>19</v>
      </c>
      <c r="C22" t="s">
        <v>9</v>
      </c>
      <c r="D22" t="s">
        <v>16</v>
      </c>
      <c r="E22">
        <v>10595</v>
      </c>
      <c r="F22" t="s">
        <v>10</v>
      </c>
      <c r="G22">
        <v>101</v>
      </c>
      <c r="H22">
        <v>1001</v>
      </c>
      <c r="I22">
        <v>133</v>
      </c>
      <c r="J22">
        <f t="shared" si="0"/>
        <v>133133</v>
      </c>
    </row>
    <row r="23" spans="1:15" x14ac:dyDescent="0.35">
      <c r="A23">
        <v>250</v>
      </c>
      <c r="B23" t="s">
        <v>19</v>
      </c>
      <c r="C23" t="s">
        <v>9</v>
      </c>
      <c r="D23" t="s">
        <v>23</v>
      </c>
      <c r="E23">
        <v>11507</v>
      </c>
      <c r="F23" t="s">
        <v>10</v>
      </c>
      <c r="G23">
        <v>72</v>
      </c>
      <c r="H23">
        <v>1479.53</v>
      </c>
      <c r="I23">
        <v>24</v>
      </c>
      <c r="J23">
        <f t="shared" si="0"/>
        <v>35508.720000000001</v>
      </c>
      <c r="L23" t="s">
        <v>47</v>
      </c>
    </row>
    <row r="24" spans="1:15" x14ac:dyDescent="0.35">
      <c r="A24">
        <v>4</v>
      </c>
      <c r="B24" t="s">
        <v>19</v>
      </c>
      <c r="C24" t="s">
        <v>20</v>
      </c>
      <c r="D24" t="s">
        <v>12</v>
      </c>
      <c r="E24">
        <v>7956</v>
      </c>
      <c r="F24" t="s">
        <v>18</v>
      </c>
      <c r="G24">
        <v>24</v>
      </c>
      <c r="H24">
        <v>814.07</v>
      </c>
      <c r="I24">
        <v>112</v>
      </c>
      <c r="J24">
        <f t="shared" si="0"/>
        <v>91175.840000000011</v>
      </c>
      <c r="L24" t="s">
        <v>41</v>
      </c>
      <c r="N24" t="s">
        <v>42</v>
      </c>
    </row>
    <row r="25" spans="1:15" x14ac:dyDescent="0.35">
      <c r="A25">
        <v>116</v>
      </c>
      <c r="B25" t="s">
        <v>19</v>
      </c>
      <c r="C25" t="s">
        <v>20</v>
      </c>
      <c r="D25" t="s">
        <v>16</v>
      </c>
      <c r="E25">
        <v>10021</v>
      </c>
      <c r="F25" t="s">
        <v>18</v>
      </c>
      <c r="G25">
        <v>41</v>
      </c>
      <c r="H25">
        <v>287.58</v>
      </c>
      <c r="I25">
        <v>55</v>
      </c>
      <c r="J25">
        <f t="shared" si="0"/>
        <v>15816.9</v>
      </c>
      <c r="L25" t="s">
        <v>32</v>
      </c>
      <c r="M25">
        <f>M5-M7</f>
        <v>518</v>
      </c>
      <c r="N25" t="s">
        <v>34</v>
      </c>
      <c r="O25">
        <f>O5-O7</f>
        <v>924702.09000000032</v>
      </c>
    </row>
    <row r="26" spans="1:15" x14ac:dyDescent="0.35">
      <c r="A26">
        <v>155</v>
      </c>
      <c r="B26" t="s">
        <v>19</v>
      </c>
      <c r="C26" t="s">
        <v>9</v>
      </c>
      <c r="D26" t="s">
        <v>13</v>
      </c>
      <c r="E26">
        <v>2186</v>
      </c>
      <c r="F26" t="s">
        <v>18</v>
      </c>
      <c r="G26">
        <v>67</v>
      </c>
      <c r="H26">
        <v>2497.11</v>
      </c>
      <c r="I26">
        <v>128</v>
      </c>
      <c r="J26">
        <f t="shared" si="0"/>
        <v>319630.08000000002</v>
      </c>
      <c r="L26" t="s">
        <v>33</v>
      </c>
      <c r="M26">
        <f>N5-N7</f>
        <v>1660.6993333333335</v>
      </c>
      <c r="N26" t="s">
        <v>35</v>
      </c>
      <c r="O26">
        <f>P5-P7</f>
        <v>9563.5683333333582</v>
      </c>
    </row>
    <row r="27" spans="1:15" x14ac:dyDescent="0.35">
      <c r="A27">
        <v>156</v>
      </c>
      <c r="B27" t="s">
        <v>19</v>
      </c>
      <c r="C27" t="s">
        <v>20</v>
      </c>
      <c r="D27" t="s">
        <v>23</v>
      </c>
      <c r="E27">
        <v>3806</v>
      </c>
      <c r="F27" t="s">
        <v>18</v>
      </c>
      <c r="G27">
        <v>11</v>
      </c>
      <c r="H27">
        <v>594.91999999999996</v>
      </c>
      <c r="I27">
        <v>62</v>
      </c>
      <c r="J27">
        <f t="shared" si="0"/>
        <v>36885.040000000001</v>
      </c>
    </row>
    <row r="28" spans="1:15" x14ac:dyDescent="0.35">
      <c r="A28">
        <v>161</v>
      </c>
      <c r="B28" t="s">
        <v>19</v>
      </c>
      <c r="C28" t="s">
        <v>9</v>
      </c>
      <c r="D28" t="s">
        <v>20</v>
      </c>
      <c r="E28">
        <v>9472</v>
      </c>
      <c r="F28" t="s">
        <v>18</v>
      </c>
      <c r="G28">
        <v>118</v>
      </c>
      <c r="H28">
        <v>440.82</v>
      </c>
      <c r="I28">
        <v>131</v>
      </c>
      <c r="J28">
        <f t="shared" si="0"/>
        <v>57747.42</v>
      </c>
    </row>
    <row r="29" spans="1:15" x14ac:dyDescent="0.35">
      <c r="A29">
        <v>166</v>
      </c>
      <c r="B29" t="s">
        <v>19</v>
      </c>
      <c r="C29" t="s">
        <v>20</v>
      </c>
      <c r="D29" t="s">
        <v>22</v>
      </c>
      <c r="E29">
        <v>8152</v>
      </c>
      <c r="F29" t="s">
        <v>18</v>
      </c>
      <c r="G29">
        <v>70</v>
      </c>
      <c r="H29">
        <v>2445.98</v>
      </c>
      <c r="I29">
        <v>168</v>
      </c>
      <c r="J29">
        <f t="shared" si="0"/>
        <v>410924.64</v>
      </c>
    </row>
    <row r="30" spans="1:15" x14ac:dyDescent="0.35">
      <c r="A30">
        <v>174</v>
      </c>
      <c r="B30" t="s">
        <v>19</v>
      </c>
      <c r="C30" t="s">
        <v>22</v>
      </c>
      <c r="D30" t="s">
        <v>12</v>
      </c>
      <c r="E30">
        <v>7767</v>
      </c>
      <c r="F30" t="s">
        <v>18</v>
      </c>
      <c r="G30">
        <v>73</v>
      </c>
      <c r="H30">
        <v>1512.77</v>
      </c>
      <c r="I30">
        <v>23</v>
      </c>
      <c r="J30">
        <f t="shared" si="0"/>
        <v>34793.71</v>
      </c>
    </row>
    <row r="31" spans="1:15" x14ac:dyDescent="0.35">
      <c r="A31">
        <v>197</v>
      </c>
      <c r="B31" t="s">
        <v>19</v>
      </c>
      <c r="C31" t="s">
        <v>12</v>
      </c>
      <c r="D31" t="s">
        <v>17</v>
      </c>
      <c r="E31">
        <v>3578</v>
      </c>
      <c r="F31" t="s">
        <v>18</v>
      </c>
      <c r="G31">
        <v>104</v>
      </c>
      <c r="H31">
        <v>3975.44</v>
      </c>
      <c r="I31">
        <v>85</v>
      </c>
      <c r="J31">
        <f t="shared" si="0"/>
        <v>337912.4</v>
      </c>
    </row>
    <row r="32" spans="1:15" x14ac:dyDescent="0.35">
      <c r="A32">
        <v>215</v>
      </c>
      <c r="B32" t="s">
        <v>19</v>
      </c>
      <c r="C32" t="s">
        <v>12</v>
      </c>
      <c r="D32" t="s">
        <v>8</v>
      </c>
      <c r="E32">
        <v>2605</v>
      </c>
      <c r="F32" t="s">
        <v>18</v>
      </c>
      <c r="G32">
        <v>37</v>
      </c>
      <c r="H32">
        <v>2325.11</v>
      </c>
      <c r="I32">
        <v>84</v>
      </c>
      <c r="J32">
        <f t="shared" si="0"/>
        <v>195309.24000000002</v>
      </c>
    </row>
    <row r="33" spans="1:10" x14ac:dyDescent="0.35">
      <c r="A33">
        <v>219</v>
      </c>
      <c r="B33" t="s">
        <v>19</v>
      </c>
      <c r="C33" t="s">
        <v>12</v>
      </c>
      <c r="D33" t="s">
        <v>8</v>
      </c>
      <c r="E33">
        <v>11228</v>
      </c>
      <c r="F33" t="s">
        <v>18</v>
      </c>
      <c r="G33">
        <v>37</v>
      </c>
      <c r="H33">
        <v>382.22</v>
      </c>
      <c r="I33">
        <v>163</v>
      </c>
      <c r="J33">
        <f t="shared" si="0"/>
        <v>62301.860000000008</v>
      </c>
    </row>
  </sheetData>
  <pageMargins left="0.7" right="0.7" top="0.75" bottom="0.75" header="0.3" footer="0.3"/>
  <ignoredErrors>
    <ignoredError sqref="M3:N3 M5:N5 M7:N7" formulaRange="1"/>
    <ignoredError sqref="O5"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03052-81D2-4F8E-8476-A963D613F1C8}">
  <dimension ref="A1:P26"/>
  <sheetViews>
    <sheetView workbookViewId="0">
      <selection activeCell="O3" sqref="O3"/>
    </sheetView>
  </sheetViews>
  <sheetFormatPr defaultRowHeight="14.5" x14ac:dyDescent="0.35"/>
  <cols>
    <col min="10" max="10" width="15.1796875" customWidth="1"/>
    <col min="13" max="13" width="10" customWidth="1"/>
    <col min="14" max="14" width="12.26953125" customWidth="1"/>
    <col min="15" max="15" width="13" customWidth="1"/>
    <col min="16" max="16" width="15.7265625" customWidth="1"/>
  </cols>
  <sheetData>
    <row r="1" spans="1:16" x14ac:dyDescent="0.35">
      <c r="A1" t="s">
        <v>0</v>
      </c>
      <c r="B1" t="s">
        <v>1</v>
      </c>
      <c r="C1" t="s">
        <v>2</v>
      </c>
      <c r="D1" t="s">
        <v>3</v>
      </c>
      <c r="E1" t="s">
        <v>4</v>
      </c>
      <c r="F1" t="s">
        <v>5</v>
      </c>
      <c r="G1" t="s">
        <v>6</v>
      </c>
      <c r="H1" t="s">
        <v>7</v>
      </c>
      <c r="I1" t="s">
        <v>26</v>
      </c>
      <c r="J1" t="s">
        <v>27</v>
      </c>
      <c r="L1" t="s">
        <v>5</v>
      </c>
      <c r="M1" t="s">
        <v>32</v>
      </c>
      <c r="N1" t="s">
        <v>33</v>
      </c>
      <c r="O1" t="s">
        <v>34</v>
      </c>
      <c r="P1" t="s">
        <v>35</v>
      </c>
    </row>
    <row r="2" spans="1:16" x14ac:dyDescent="0.35">
      <c r="A2">
        <v>2</v>
      </c>
      <c r="B2" t="s">
        <v>11</v>
      </c>
      <c r="C2" t="s">
        <v>12</v>
      </c>
      <c r="D2" t="s">
        <v>13</v>
      </c>
      <c r="E2">
        <v>8266</v>
      </c>
      <c r="F2" t="s">
        <v>14</v>
      </c>
      <c r="G2">
        <v>98</v>
      </c>
      <c r="H2">
        <v>2227.96</v>
      </c>
      <c r="I2">
        <v>144</v>
      </c>
      <c r="J2">
        <f t="shared" ref="J2:J25" si="0">H2*I2</f>
        <v>320826.23999999999</v>
      </c>
    </row>
    <row r="3" spans="1:16" x14ac:dyDescent="0.35">
      <c r="A3">
        <v>25</v>
      </c>
      <c r="B3" t="s">
        <v>11</v>
      </c>
      <c r="C3" t="s">
        <v>17</v>
      </c>
      <c r="D3" t="s">
        <v>24</v>
      </c>
      <c r="E3">
        <v>2533</v>
      </c>
      <c r="F3" t="s">
        <v>14</v>
      </c>
      <c r="G3">
        <v>54</v>
      </c>
      <c r="H3">
        <v>1211.1400000000001</v>
      </c>
      <c r="I3">
        <v>181</v>
      </c>
      <c r="J3">
        <f t="shared" si="0"/>
        <v>219216.34000000003</v>
      </c>
      <c r="L3" t="s">
        <v>14</v>
      </c>
      <c r="M3">
        <f>SUM(I2:I12)</f>
        <v>1418</v>
      </c>
      <c r="N3">
        <f>AVERAGE(I2:I12)</f>
        <v>128.90909090909091</v>
      </c>
      <c r="O3">
        <f>SUM(J2:J12)</f>
        <v>2745456.4</v>
      </c>
      <c r="P3">
        <f>AVERAGE(J2:J12)</f>
        <v>249586.94545454544</v>
      </c>
    </row>
    <row r="4" spans="1:16" x14ac:dyDescent="0.35">
      <c r="A4">
        <v>26</v>
      </c>
      <c r="B4" t="s">
        <v>11</v>
      </c>
      <c r="C4" t="s">
        <v>8</v>
      </c>
      <c r="D4" t="s">
        <v>12</v>
      </c>
      <c r="E4">
        <v>3201</v>
      </c>
      <c r="F4" t="s">
        <v>14</v>
      </c>
      <c r="G4">
        <v>71</v>
      </c>
      <c r="H4">
        <v>2009.24</v>
      </c>
      <c r="I4">
        <v>137</v>
      </c>
      <c r="J4">
        <f t="shared" si="0"/>
        <v>275265.88</v>
      </c>
    </row>
    <row r="5" spans="1:16" x14ac:dyDescent="0.35">
      <c r="A5">
        <v>63</v>
      </c>
      <c r="B5" t="s">
        <v>11</v>
      </c>
      <c r="C5" t="s">
        <v>12</v>
      </c>
      <c r="D5" t="s">
        <v>20</v>
      </c>
      <c r="E5">
        <v>2201</v>
      </c>
      <c r="F5" t="s">
        <v>14</v>
      </c>
      <c r="G5">
        <v>80</v>
      </c>
      <c r="H5">
        <v>1058.28</v>
      </c>
      <c r="I5">
        <v>88</v>
      </c>
      <c r="J5">
        <f t="shared" si="0"/>
        <v>93128.639999999999</v>
      </c>
      <c r="L5" t="s">
        <v>10</v>
      </c>
      <c r="M5">
        <f>SUM(I13:I19)</f>
        <v>394</v>
      </c>
      <c r="N5">
        <f>AVERAGE(I13:I19)</f>
        <v>56.285714285714285</v>
      </c>
      <c r="O5">
        <f>SUM(J13:J19)</f>
        <v>410307.91000000003</v>
      </c>
      <c r="P5">
        <f>AVERAGE(J13:J19)</f>
        <v>58615.415714285722</v>
      </c>
    </row>
    <row r="6" spans="1:16" x14ac:dyDescent="0.35">
      <c r="A6">
        <v>103</v>
      </c>
      <c r="B6" t="s">
        <v>11</v>
      </c>
      <c r="C6" t="s">
        <v>24</v>
      </c>
      <c r="D6" t="s">
        <v>12</v>
      </c>
      <c r="E6">
        <v>8201</v>
      </c>
      <c r="F6" t="s">
        <v>14</v>
      </c>
      <c r="G6">
        <v>86</v>
      </c>
      <c r="H6">
        <v>2627.88</v>
      </c>
      <c r="I6">
        <v>200</v>
      </c>
      <c r="J6">
        <f t="shared" si="0"/>
        <v>525576</v>
      </c>
    </row>
    <row r="7" spans="1:16" x14ac:dyDescent="0.35">
      <c r="A7">
        <v>111</v>
      </c>
      <c r="B7" t="s">
        <v>11</v>
      </c>
      <c r="C7" t="s">
        <v>24</v>
      </c>
      <c r="D7" t="s">
        <v>17</v>
      </c>
      <c r="E7">
        <v>11081</v>
      </c>
      <c r="F7" t="s">
        <v>14</v>
      </c>
      <c r="G7">
        <v>91</v>
      </c>
      <c r="H7">
        <v>2656.31</v>
      </c>
      <c r="I7">
        <v>118</v>
      </c>
      <c r="J7">
        <f t="shared" si="0"/>
        <v>313444.58</v>
      </c>
      <c r="L7" t="s">
        <v>37</v>
      </c>
      <c r="M7">
        <f>SUM(I20:I25)</f>
        <v>638</v>
      </c>
      <c r="N7">
        <f>AVERAGE(I20:I25)</f>
        <v>106.33333333333333</v>
      </c>
      <c r="O7">
        <f>SUM(J20:J25)</f>
        <v>1704340.2100000002</v>
      </c>
      <c r="P7">
        <f>AVERAGE(J20:J25)</f>
        <v>284056.70166666672</v>
      </c>
    </row>
    <row r="8" spans="1:16" x14ac:dyDescent="0.35">
      <c r="A8">
        <v>132</v>
      </c>
      <c r="B8" t="s">
        <v>11</v>
      </c>
      <c r="C8" t="s">
        <v>9</v>
      </c>
      <c r="D8" t="s">
        <v>24</v>
      </c>
      <c r="E8">
        <v>1602</v>
      </c>
      <c r="F8" t="s">
        <v>14</v>
      </c>
      <c r="G8">
        <v>19</v>
      </c>
      <c r="H8">
        <v>4295.3999999999996</v>
      </c>
      <c r="I8">
        <v>39</v>
      </c>
      <c r="J8">
        <f t="shared" si="0"/>
        <v>167520.59999999998</v>
      </c>
      <c r="L8" t="s">
        <v>50</v>
      </c>
      <c r="M8">
        <f>SUM(M3:M7)</f>
        <v>2450</v>
      </c>
      <c r="N8">
        <f>SUM(N3:N7)</f>
        <v>291.52813852813853</v>
      </c>
      <c r="O8">
        <f>SUM(O3:O7)</f>
        <v>4860104.5200000005</v>
      </c>
      <c r="P8">
        <f>SUM(P3:P7)</f>
        <v>592259.0628354979</v>
      </c>
    </row>
    <row r="9" spans="1:16" x14ac:dyDescent="0.35">
      <c r="A9">
        <v>172</v>
      </c>
      <c r="B9" t="s">
        <v>11</v>
      </c>
      <c r="C9" t="s">
        <v>16</v>
      </c>
      <c r="D9" t="s">
        <v>13</v>
      </c>
      <c r="E9">
        <v>8402</v>
      </c>
      <c r="F9" t="s">
        <v>14</v>
      </c>
      <c r="G9">
        <v>75</v>
      </c>
      <c r="H9">
        <v>2038.94</v>
      </c>
      <c r="I9">
        <v>133</v>
      </c>
      <c r="J9">
        <f t="shared" si="0"/>
        <v>271179.02</v>
      </c>
    </row>
    <row r="10" spans="1:16" x14ac:dyDescent="0.35">
      <c r="A10">
        <v>176</v>
      </c>
      <c r="B10" t="s">
        <v>11</v>
      </c>
      <c r="C10" t="s">
        <v>22</v>
      </c>
      <c r="D10" t="s">
        <v>9</v>
      </c>
      <c r="E10">
        <v>4413</v>
      </c>
      <c r="F10" t="s">
        <v>14</v>
      </c>
      <c r="G10">
        <v>112</v>
      </c>
      <c r="H10">
        <v>393.39</v>
      </c>
      <c r="I10">
        <v>134</v>
      </c>
      <c r="J10">
        <f t="shared" si="0"/>
        <v>52714.259999999995</v>
      </c>
    </row>
    <row r="11" spans="1:16" x14ac:dyDescent="0.35">
      <c r="A11">
        <v>191</v>
      </c>
      <c r="B11" t="s">
        <v>11</v>
      </c>
      <c r="C11" t="s">
        <v>12</v>
      </c>
      <c r="D11" t="s">
        <v>8</v>
      </c>
      <c r="E11">
        <v>7130</v>
      </c>
      <c r="F11" t="s">
        <v>14</v>
      </c>
      <c r="G11">
        <v>72</v>
      </c>
      <c r="H11">
        <v>2720.95</v>
      </c>
      <c r="I11">
        <v>160</v>
      </c>
      <c r="J11">
        <f t="shared" si="0"/>
        <v>435352</v>
      </c>
      <c r="L11" t="s">
        <v>38</v>
      </c>
    </row>
    <row r="12" spans="1:16" x14ac:dyDescent="0.35">
      <c r="A12">
        <v>217</v>
      </c>
      <c r="B12" t="s">
        <v>11</v>
      </c>
      <c r="C12" t="s">
        <v>16</v>
      </c>
      <c r="D12" t="s">
        <v>23</v>
      </c>
      <c r="E12">
        <v>4002</v>
      </c>
      <c r="F12" t="s">
        <v>14</v>
      </c>
      <c r="G12">
        <v>75</v>
      </c>
      <c r="H12">
        <v>848.01</v>
      </c>
      <c r="I12">
        <v>84</v>
      </c>
      <c r="J12">
        <f t="shared" si="0"/>
        <v>71232.84</v>
      </c>
    </row>
    <row r="13" spans="1:16" x14ac:dyDescent="0.35">
      <c r="A13">
        <v>34</v>
      </c>
      <c r="B13" t="s">
        <v>11</v>
      </c>
      <c r="C13" t="s">
        <v>8</v>
      </c>
      <c r="D13" t="s">
        <v>20</v>
      </c>
      <c r="E13">
        <v>4319</v>
      </c>
      <c r="F13" t="s">
        <v>10</v>
      </c>
      <c r="G13">
        <v>53</v>
      </c>
      <c r="H13">
        <v>1792.07</v>
      </c>
      <c r="I13">
        <v>8</v>
      </c>
      <c r="J13">
        <f t="shared" si="0"/>
        <v>14336.56</v>
      </c>
      <c r="L13" t="s">
        <v>39</v>
      </c>
    </row>
    <row r="14" spans="1:16" x14ac:dyDescent="0.35">
      <c r="A14">
        <v>68</v>
      </c>
      <c r="B14" t="s">
        <v>11</v>
      </c>
      <c r="C14" t="s">
        <v>24</v>
      </c>
      <c r="D14" t="s">
        <v>12</v>
      </c>
      <c r="E14">
        <v>6998</v>
      </c>
      <c r="F14" t="s">
        <v>10</v>
      </c>
      <c r="G14">
        <v>8</v>
      </c>
      <c r="H14">
        <v>981.05</v>
      </c>
      <c r="I14">
        <v>16</v>
      </c>
      <c r="J14">
        <f t="shared" si="0"/>
        <v>15696.8</v>
      </c>
      <c r="L14" t="s">
        <v>41</v>
      </c>
      <c r="N14" t="s">
        <v>42</v>
      </c>
    </row>
    <row r="15" spans="1:16" x14ac:dyDescent="0.35">
      <c r="A15">
        <v>75</v>
      </c>
      <c r="B15" t="s">
        <v>11</v>
      </c>
      <c r="C15" t="s">
        <v>17</v>
      </c>
      <c r="D15" t="s">
        <v>8</v>
      </c>
      <c r="E15">
        <v>3075</v>
      </c>
      <c r="F15" t="s">
        <v>10</v>
      </c>
      <c r="G15">
        <v>32</v>
      </c>
      <c r="H15">
        <v>1198.3800000000001</v>
      </c>
      <c r="I15">
        <v>65</v>
      </c>
      <c r="J15">
        <f t="shared" si="0"/>
        <v>77894.700000000012</v>
      </c>
      <c r="L15" t="s">
        <v>50</v>
      </c>
      <c r="M15">
        <f>M3-M5</f>
        <v>1024</v>
      </c>
      <c r="N15" t="s">
        <v>50</v>
      </c>
      <c r="O15">
        <f>O3-O5</f>
        <v>2335148.4899999998</v>
      </c>
    </row>
    <row r="16" spans="1:16" x14ac:dyDescent="0.35">
      <c r="A16">
        <v>77</v>
      </c>
      <c r="B16" t="s">
        <v>11</v>
      </c>
      <c r="C16" t="s">
        <v>12</v>
      </c>
      <c r="D16" t="s">
        <v>16</v>
      </c>
      <c r="E16">
        <v>6447</v>
      </c>
      <c r="F16" t="s">
        <v>10</v>
      </c>
      <c r="G16">
        <v>74</v>
      </c>
      <c r="H16">
        <v>1417.51</v>
      </c>
      <c r="I16">
        <v>124</v>
      </c>
      <c r="J16">
        <f t="shared" si="0"/>
        <v>175771.24</v>
      </c>
      <c r="L16" t="s">
        <v>51</v>
      </c>
      <c r="M16">
        <f>N3-N5</f>
        <v>72.623376623376629</v>
      </c>
      <c r="N16" t="s">
        <v>52</v>
      </c>
      <c r="O16">
        <f>P3-P5</f>
        <v>190971.52974025972</v>
      </c>
    </row>
    <row r="17" spans="1:15" x14ac:dyDescent="0.35">
      <c r="A17">
        <v>126</v>
      </c>
      <c r="B17" t="s">
        <v>11</v>
      </c>
      <c r="C17" t="s">
        <v>22</v>
      </c>
      <c r="D17" t="s">
        <v>17</v>
      </c>
      <c r="E17">
        <v>2279</v>
      </c>
      <c r="F17" t="s">
        <v>10</v>
      </c>
      <c r="G17">
        <v>103</v>
      </c>
      <c r="H17">
        <v>696.06</v>
      </c>
      <c r="I17">
        <v>18</v>
      </c>
      <c r="J17">
        <f t="shared" si="0"/>
        <v>12529.079999999998</v>
      </c>
    </row>
    <row r="18" spans="1:15" x14ac:dyDescent="0.35">
      <c r="A18">
        <v>210</v>
      </c>
      <c r="B18" t="s">
        <v>11</v>
      </c>
      <c r="C18" t="s">
        <v>23</v>
      </c>
      <c r="D18" t="s">
        <v>24</v>
      </c>
      <c r="E18">
        <v>11384</v>
      </c>
      <c r="F18" t="s">
        <v>10</v>
      </c>
      <c r="G18">
        <v>11</v>
      </c>
      <c r="H18">
        <v>425.61</v>
      </c>
      <c r="I18">
        <v>49</v>
      </c>
      <c r="J18">
        <f t="shared" si="0"/>
        <v>20854.89</v>
      </c>
      <c r="L18" t="s">
        <v>46</v>
      </c>
    </row>
    <row r="19" spans="1:15" x14ac:dyDescent="0.35">
      <c r="A19">
        <v>245</v>
      </c>
      <c r="B19" t="s">
        <v>11</v>
      </c>
      <c r="C19" t="s">
        <v>12</v>
      </c>
      <c r="D19" t="s">
        <v>24</v>
      </c>
      <c r="E19">
        <v>6420</v>
      </c>
      <c r="F19" t="s">
        <v>10</v>
      </c>
      <c r="G19">
        <v>37</v>
      </c>
      <c r="H19">
        <v>817.76</v>
      </c>
      <c r="I19">
        <v>114</v>
      </c>
      <c r="J19">
        <f t="shared" si="0"/>
        <v>93224.639999999999</v>
      </c>
      <c r="L19" t="s">
        <v>41</v>
      </c>
      <c r="N19" t="s">
        <v>40</v>
      </c>
    </row>
    <row r="20" spans="1:15" x14ac:dyDescent="0.35">
      <c r="A20">
        <v>31</v>
      </c>
      <c r="B20" t="s">
        <v>11</v>
      </c>
      <c r="C20" t="s">
        <v>13</v>
      </c>
      <c r="D20" t="s">
        <v>12</v>
      </c>
      <c r="E20">
        <v>9267</v>
      </c>
      <c r="F20" t="s">
        <v>18</v>
      </c>
      <c r="G20">
        <v>34</v>
      </c>
      <c r="H20">
        <v>1310.46</v>
      </c>
      <c r="I20">
        <v>191</v>
      </c>
      <c r="J20">
        <f t="shared" si="0"/>
        <v>250297.86000000002</v>
      </c>
      <c r="L20" t="s">
        <v>50</v>
      </c>
      <c r="M20">
        <f>M3-M7</f>
        <v>780</v>
      </c>
      <c r="N20" t="s">
        <v>50</v>
      </c>
      <c r="O20">
        <f>O3-O7</f>
        <v>1041116.1899999997</v>
      </c>
    </row>
    <row r="21" spans="1:15" x14ac:dyDescent="0.35">
      <c r="A21">
        <v>94</v>
      </c>
      <c r="B21" t="s">
        <v>11</v>
      </c>
      <c r="C21" t="s">
        <v>12</v>
      </c>
      <c r="D21" t="s">
        <v>17</v>
      </c>
      <c r="E21">
        <v>396</v>
      </c>
      <c r="F21" t="s">
        <v>18</v>
      </c>
      <c r="G21">
        <v>107</v>
      </c>
      <c r="H21">
        <v>1243.6300000000001</v>
      </c>
      <c r="I21">
        <v>74</v>
      </c>
      <c r="J21">
        <f t="shared" si="0"/>
        <v>92028.62000000001</v>
      </c>
      <c r="L21" t="s">
        <v>51</v>
      </c>
      <c r="M21">
        <f>N3-N7</f>
        <v>22.575757575757578</v>
      </c>
      <c r="N21" t="s">
        <v>51</v>
      </c>
      <c r="O21">
        <f>P7-P3</f>
        <v>34469.756212121283</v>
      </c>
    </row>
    <row r="22" spans="1:15" x14ac:dyDescent="0.35">
      <c r="A22">
        <v>109</v>
      </c>
      <c r="B22" t="s">
        <v>11</v>
      </c>
      <c r="C22" t="s">
        <v>12</v>
      </c>
      <c r="D22" t="s">
        <v>16</v>
      </c>
      <c r="E22">
        <v>3445</v>
      </c>
      <c r="F22" t="s">
        <v>18</v>
      </c>
      <c r="G22">
        <v>105</v>
      </c>
      <c r="H22">
        <v>5377.31</v>
      </c>
      <c r="I22">
        <v>18</v>
      </c>
      <c r="J22">
        <f t="shared" si="0"/>
        <v>96791.58</v>
      </c>
    </row>
    <row r="23" spans="1:15" x14ac:dyDescent="0.35">
      <c r="A23">
        <v>145</v>
      </c>
      <c r="B23" t="s">
        <v>11</v>
      </c>
      <c r="C23" t="s">
        <v>13</v>
      </c>
      <c r="D23" t="s">
        <v>24</v>
      </c>
      <c r="E23">
        <v>4154</v>
      </c>
      <c r="F23" t="s">
        <v>18</v>
      </c>
      <c r="G23">
        <v>89</v>
      </c>
      <c r="H23">
        <v>5889.12</v>
      </c>
      <c r="I23">
        <v>163</v>
      </c>
      <c r="J23">
        <f t="shared" si="0"/>
        <v>959926.55999999994</v>
      </c>
      <c r="L23" t="s">
        <v>44</v>
      </c>
    </row>
    <row r="24" spans="1:15" x14ac:dyDescent="0.35">
      <c r="A24">
        <v>175</v>
      </c>
      <c r="B24" t="s">
        <v>11</v>
      </c>
      <c r="C24" t="s">
        <v>12</v>
      </c>
      <c r="D24" t="s">
        <v>9</v>
      </c>
      <c r="E24">
        <v>460</v>
      </c>
      <c r="F24" t="s">
        <v>18</v>
      </c>
      <c r="G24">
        <v>118</v>
      </c>
      <c r="H24">
        <v>1749.77</v>
      </c>
      <c r="I24">
        <v>167</v>
      </c>
      <c r="J24">
        <f t="shared" si="0"/>
        <v>292211.59000000003</v>
      </c>
      <c r="L24" t="s">
        <v>41</v>
      </c>
      <c r="N24" t="s">
        <v>40</v>
      </c>
    </row>
    <row r="25" spans="1:15" x14ac:dyDescent="0.35">
      <c r="A25">
        <v>200</v>
      </c>
      <c r="B25" t="s">
        <v>11</v>
      </c>
      <c r="C25" t="s">
        <v>9</v>
      </c>
      <c r="D25" t="s">
        <v>22</v>
      </c>
      <c r="E25">
        <v>6019</v>
      </c>
      <c r="F25" t="s">
        <v>18</v>
      </c>
      <c r="G25">
        <v>106</v>
      </c>
      <c r="H25">
        <v>523.36</v>
      </c>
      <c r="I25">
        <v>25</v>
      </c>
      <c r="J25">
        <f t="shared" si="0"/>
        <v>13084</v>
      </c>
      <c r="L25" t="s">
        <v>50</v>
      </c>
      <c r="M25">
        <f>M7-M5</f>
        <v>244</v>
      </c>
      <c r="N25" t="s">
        <v>50</v>
      </c>
      <c r="O25">
        <f>O7-O5</f>
        <v>1294032.3000000003</v>
      </c>
    </row>
    <row r="26" spans="1:15" x14ac:dyDescent="0.35">
      <c r="L26" t="s">
        <v>51</v>
      </c>
      <c r="M26">
        <f>N7-N5</f>
        <v>50.047619047619044</v>
      </c>
      <c r="N26" t="s">
        <v>51</v>
      </c>
      <c r="O26">
        <f>P7-P5</f>
        <v>225441.285952381</v>
      </c>
    </row>
  </sheetData>
  <autoFilter ref="A1:J25" xr:uid="{58F03052-81D2-4F8E-8476-A963D613F1C8}">
    <sortState xmlns:xlrd2="http://schemas.microsoft.com/office/spreadsheetml/2017/richdata2" ref="A2:J25">
      <sortCondition ref="F1:F25"/>
    </sortState>
  </autoFilter>
  <pageMargins left="0.7" right="0.7" top="0.75" bottom="0.75" header="0.3" footer="0.3"/>
  <ignoredErrors>
    <ignoredError sqref="M3:N3 M5:N5 M7:N7"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DC24C-3FBD-4FE6-888D-9336FC3F6DB9}">
  <dimension ref="A1:P35"/>
  <sheetViews>
    <sheetView workbookViewId="0">
      <selection activeCell="O11" sqref="O11"/>
    </sheetView>
  </sheetViews>
  <sheetFormatPr defaultRowHeight="14.5" x14ac:dyDescent="0.35"/>
  <cols>
    <col min="10" max="10" width="15.08984375" customWidth="1"/>
    <col min="13" max="13" width="12.7265625" customWidth="1"/>
    <col min="14" max="14" width="13.453125" customWidth="1"/>
    <col min="15" max="15" width="13.6328125" customWidth="1"/>
    <col min="16" max="16" width="15.36328125" customWidth="1"/>
  </cols>
  <sheetData>
    <row r="1" spans="1:16" x14ac:dyDescent="0.35">
      <c r="A1" t="s">
        <v>0</v>
      </c>
      <c r="B1" t="s">
        <v>1</v>
      </c>
      <c r="C1" t="s">
        <v>2</v>
      </c>
      <c r="D1" t="s">
        <v>3</v>
      </c>
      <c r="E1" t="s">
        <v>4</v>
      </c>
      <c r="F1" t="s">
        <v>5</v>
      </c>
      <c r="G1" t="s">
        <v>6</v>
      </c>
      <c r="H1" t="s">
        <v>7</v>
      </c>
      <c r="I1" t="s">
        <v>26</v>
      </c>
      <c r="J1" t="s">
        <v>27</v>
      </c>
      <c r="L1" t="s">
        <v>5</v>
      </c>
      <c r="M1" t="s">
        <v>32</v>
      </c>
      <c r="N1" t="s">
        <v>33</v>
      </c>
      <c r="O1" t="s">
        <v>34</v>
      </c>
      <c r="P1" t="s">
        <v>35</v>
      </c>
    </row>
    <row r="2" spans="1:16" x14ac:dyDescent="0.35">
      <c r="A2">
        <v>15</v>
      </c>
      <c r="B2" t="s">
        <v>25</v>
      </c>
      <c r="C2" t="s">
        <v>13</v>
      </c>
      <c r="D2" t="s">
        <v>24</v>
      </c>
      <c r="E2">
        <v>5492</v>
      </c>
      <c r="F2" t="s">
        <v>14</v>
      </c>
      <c r="G2">
        <v>38</v>
      </c>
      <c r="H2">
        <v>2044.55</v>
      </c>
      <c r="I2">
        <v>154</v>
      </c>
      <c r="J2">
        <f t="shared" ref="J2:J35" si="0">H2*I2</f>
        <v>314860.7</v>
      </c>
    </row>
    <row r="3" spans="1:16" x14ac:dyDescent="0.35">
      <c r="A3">
        <v>33</v>
      </c>
      <c r="B3" t="s">
        <v>25</v>
      </c>
      <c r="C3" t="s">
        <v>23</v>
      </c>
      <c r="D3" t="s">
        <v>20</v>
      </c>
      <c r="E3">
        <v>10010</v>
      </c>
      <c r="F3" t="s">
        <v>14</v>
      </c>
      <c r="G3">
        <v>44</v>
      </c>
      <c r="H3">
        <v>1895.91</v>
      </c>
      <c r="I3">
        <v>123</v>
      </c>
      <c r="J3">
        <f t="shared" si="0"/>
        <v>233196.93000000002</v>
      </c>
      <c r="L3" t="s">
        <v>14</v>
      </c>
      <c r="M3">
        <f>SUM(I2:I12)</f>
        <v>1000</v>
      </c>
      <c r="N3">
        <f>AVERAGE(I2:I12)</f>
        <v>90.909090909090907</v>
      </c>
      <c r="O3">
        <f>SUM(J2:J12)</f>
        <v>2690237.7300000004</v>
      </c>
      <c r="P3">
        <f>AVERAGE(J2:J12)</f>
        <v>244567.0663636364</v>
      </c>
    </row>
    <row r="4" spans="1:16" x14ac:dyDescent="0.35">
      <c r="A4">
        <v>47</v>
      </c>
      <c r="B4" t="s">
        <v>25</v>
      </c>
      <c r="C4" t="s">
        <v>9</v>
      </c>
      <c r="D4" t="s">
        <v>12</v>
      </c>
      <c r="E4">
        <v>4452</v>
      </c>
      <c r="F4" t="s">
        <v>14</v>
      </c>
      <c r="G4">
        <v>6</v>
      </c>
      <c r="H4">
        <v>1593.55</v>
      </c>
      <c r="I4">
        <v>77</v>
      </c>
      <c r="J4">
        <f t="shared" si="0"/>
        <v>122703.34999999999</v>
      </c>
    </row>
    <row r="5" spans="1:16" x14ac:dyDescent="0.35">
      <c r="A5">
        <v>86</v>
      </c>
      <c r="B5" t="s">
        <v>25</v>
      </c>
      <c r="C5" t="s">
        <v>16</v>
      </c>
      <c r="D5" t="s">
        <v>23</v>
      </c>
      <c r="E5">
        <v>2167</v>
      </c>
      <c r="F5" t="s">
        <v>14</v>
      </c>
      <c r="G5">
        <v>107</v>
      </c>
      <c r="H5">
        <v>584.62</v>
      </c>
      <c r="I5">
        <v>10</v>
      </c>
      <c r="J5">
        <f t="shared" si="0"/>
        <v>5846.2</v>
      </c>
      <c r="L5" t="s">
        <v>10</v>
      </c>
      <c r="M5">
        <f>SUM(I13:I25)</f>
        <v>1221</v>
      </c>
      <c r="N5">
        <f>AVERAGE(I13:I25)</f>
        <v>93.92307692307692</v>
      </c>
      <c r="O5">
        <f>SUM(J13:J25)</f>
        <v>2393711.64</v>
      </c>
      <c r="P5">
        <f>AVERAGE('Sheet 9- Lufthansa Data'!J13:J25)</f>
        <v>184131.66461538462</v>
      </c>
    </row>
    <row r="6" spans="1:16" x14ac:dyDescent="0.35">
      <c r="A6">
        <v>88</v>
      </c>
      <c r="B6" t="s">
        <v>25</v>
      </c>
      <c r="C6" t="s">
        <v>13</v>
      </c>
      <c r="D6" t="s">
        <v>22</v>
      </c>
      <c r="E6">
        <v>6188</v>
      </c>
      <c r="F6" t="s">
        <v>14</v>
      </c>
      <c r="G6">
        <v>35</v>
      </c>
      <c r="H6">
        <v>5264.14</v>
      </c>
      <c r="I6">
        <v>196</v>
      </c>
      <c r="J6">
        <f t="shared" si="0"/>
        <v>1031771.4400000001</v>
      </c>
    </row>
    <row r="7" spans="1:16" x14ac:dyDescent="0.35">
      <c r="A7">
        <v>89</v>
      </c>
      <c r="B7" t="s">
        <v>25</v>
      </c>
      <c r="C7" t="s">
        <v>12</v>
      </c>
      <c r="D7" t="s">
        <v>23</v>
      </c>
      <c r="E7">
        <v>5347</v>
      </c>
      <c r="F7" t="s">
        <v>14</v>
      </c>
      <c r="G7">
        <v>66</v>
      </c>
      <c r="H7">
        <v>921.18</v>
      </c>
      <c r="I7">
        <v>84</v>
      </c>
      <c r="J7">
        <f t="shared" si="0"/>
        <v>77379.12</v>
      </c>
      <c r="L7" t="s">
        <v>18</v>
      </c>
      <c r="M7">
        <f>SUM(I26:I35)</f>
        <v>676</v>
      </c>
      <c r="N7">
        <f>AVERAGE(I26:I35)</f>
        <v>67.599999999999994</v>
      </c>
      <c r="O7">
        <f>SUM(J26:J35)</f>
        <v>1192351.6299999999</v>
      </c>
      <c r="P7">
        <f>AVERAGE(J26:J35)</f>
        <v>119235.16299999999</v>
      </c>
    </row>
    <row r="8" spans="1:16" x14ac:dyDescent="0.35">
      <c r="A8">
        <v>100</v>
      </c>
      <c r="B8" t="s">
        <v>25</v>
      </c>
      <c r="C8" t="s">
        <v>22</v>
      </c>
      <c r="D8" t="s">
        <v>17</v>
      </c>
      <c r="E8">
        <v>5802</v>
      </c>
      <c r="F8" t="s">
        <v>14</v>
      </c>
      <c r="G8">
        <v>96</v>
      </c>
      <c r="H8">
        <v>1984.74</v>
      </c>
      <c r="I8">
        <v>61</v>
      </c>
      <c r="J8">
        <f t="shared" si="0"/>
        <v>121069.14</v>
      </c>
      <c r="L8" t="s">
        <v>49</v>
      </c>
      <c r="M8">
        <f>SUM(M3:M7)</f>
        <v>2897</v>
      </c>
      <c r="N8">
        <f>SUM(N3:N7)</f>
        <v>252.43216783216783</v>
      </c>
      <c r="O8">
        <f>SUM(O3:O7)</f>
        <v>6276301.0000000009</v>
      </c>
      <c r="P8">
        <f>SUM(P3:P7)</f>
        <v>547933.893979021</v>
      </c>
    </row>
    <row r="9" spans="1:16" x14ac:dyDescent="0.35">
      <c r="A9">
        <v>188</v>
      </c>
      <c r="B9" t="s">
        <v>25</v>
      </c>
      <c r="C9" t="s">
        <v>20</v>
      </c>
      <c r="D9" t="s">
        <v>16</v>
      </c>
      <c r="E9">
        <v>11323</v>
      </c>
      <c r="F9" t="s">
        <v>14</v>
      </c>
      <c r="G9">
        <v>100</v>
      </c>
      <c r="H9">
        <v>373.53</v>
      </c>
      <c r="I9">
        <v>28</v>
      </c>
      <c r="J9">
        <f t="shared" si="0"/>
        <v>10458.84</v>
      </c>
    </row>
    <row r="10" spans="1:16" x14ac:dyDescent="0.35">
      <c r="A10">
        <v>237</v>
      </c>
      <c r="B10" t="s">
        <v>25</v>
      </c>
      <c r="C10" t="s">
        <v>23</v>
      </c>
      <c r="D10" t="s">
        <v>17</v>
      </c>
      <c r="E10">
        <v>7370</v>
      </c>
      <c r="F10" t="s">
        <v>14</v>
      </c>
      <c r="G10">
        <v>102</v>
      </c>
      <c r="H10">
        <v>2852.67</v>
      </c>
      <c r="I10">
        <v>91</v>
      </c>
      <c r="J10">
        <f t="shared" si="0"/>
        <v>259592.97</v>
      </c>
    </row>
    <row r="11" spans="1:16" x14ac:dyDescent="0.35">
      <c r="A11">
        <v>243</v>
      </c>
      <c r="B11" t="s">
        <v>25</v>
      </c>
      <c r="C11" t="s">
        <v>20</v>
      </c>
      <c r="D11" t="s">
        <v>12</v>
      </c>
      <c r="E11">
        <v>7175</v>
      </c>
      <c r="F11" t="s">
        <v>14</v>
      </c>
      <c r="G11">
        <v>79</v>
      </c>
      <c r="H11">
        <v>3648.54</v>
      </c>
      <c r="I11">
        <v>26</v>
      </c>
      <c r="J11">
        <f t="shared" si="0"/>
        <v>94862.04</v>
      </c>
      <c r="L11" t="s">
        <v>38</v>
      </c>
    </row>
    <row r="12" spans="1:16" x14ac:dyDescent="0.35">
      <c r="A12">
        <v>249</v>
      </c>
      <c r="B12" t="s">
        <v>25</v>
      </c>
      <c r="C12" t="s">
        <v>17</v>
      </c>
      <c r="D12" t="s">
        <v>12</v>
      </c>
      <c r="E12">
        <v>8028</v>
      </c>
      <c r="F12" t="s">
        <v>14</v>
      </c>
      <c r="G12">
        <v>58</v>
      </c>
      <c r="H12">
        <v>2789.98</v>
      </c>
      <c r="I12">
        <v>150</v>
      </c>
      <c r="J12">
        <f t="shared" si="0"/>
        <v>418497</v>
      </c>
    </row>
    <row r="13" spans="1:16" x14ac:dyDescent="0.35">
      <c r="A13">
        <v>18</v>
      </c>
      <c r="B13" t="s">
        <v>25</v>
      </c>
      <c r="C13" t="s">
        <v>23</v>
      </c>
      <c r="D13" t="s">
        <v>17</v>
      </c>
      <c r="E13">
        <v>11244</v>
      </c>
      <c r="F13" t="s">
        <v>10</v>
      </c>
      <c r="G13">
        <v>37</v>
      </c>
      <c r="H13">
        <v>306.5</v>
      </c>
      <c r="I13">
        <v>34</v>
      </c>
      <c r="J13">
        <f t="shared" si="0"/>
        <v>10421</v>
      </c>
      <c r="L13" t="s">
        <v>45</v>
      </c>
    </row>
    <row r="14" spans="1:16" x14ac:dyDescent="0.35">
      <c r="A14">
        <v>55</v>
      </c>
      <c r="B14" t="s">
        <v>25</v>
      </c>
      <c r="C14" t="s">
        <v>24</v>
      </c>
      <c r="D14" t="s">
        <v>22</v>
      </c>
      <c r="E14">
        <v>4586</v>
      </c>
      <c r="F14" t="s">
        <v>10</v>
      </c>
      <c r="G14">
        <v>50</v>
      </c>
      <c r="H14">
        <v>2477.71</v>
      </c>
      <c r="I14">
        <v>184</v>
      </c>
      <c r="J14">
        <f t="shared" si="0"/>
        <v>455898.64</v>
      </c>
      <c r="L14" t="s">
        <v>41</v>
      </c>
      <c r="N14" t="s">
        <v>42</v>
      </c>
    </row>
    <row r="15" spans="1:16" x14ac:dyDescent="0.35">
      <c r="A15">
        <v>59</v>
      </c>
      <c r="B15" t="s">
        <v>25</v>
      </c>
      <c r="C15" t="s">
        <v>8</v>
      </c>
      <c r="D15" t="s">
        <v>12</v>
      </c>
      <c r="E15">
        <v>951</v>
      </c>
      <c r="F15" t="s">
        <v>10</v>
      </c>
      <c r="G15">
        <v>102</v>
      </c>
      <c r="H15">
        <v>824.72</v>
      </c>
      <c r="I15">
        <v>72</v>
      </c>
      <c r="J15">
        <f t="shared" si="0"/>
        <v>59379.840000000004</v>
      </c>
      <c r="L15" t="s">
        <v>49</v>
      </c>
      <c r="M15">
        <f>M5-M3</f>
        <v>221</v>
      </c>
      <c r="N15" t="s">
        <v>49</v>
      </c>
      <c r="O15">
        <f>O3-O5</f>
        <v>296526.09000000032</v>
      </c>
    </row>
    <row r="16" spans="1:16" x14ac:dyDescent="0.35">
      <c r="A16">
        <v>74</v>
      </c>
      <c r="B16" t="s">
        <v>25</v>
      </c>
      <c r="C16" t="s">
        <v>13</v>
      </c>
      <c r="D16" t="s">
        <v>24</v>
      </c>
      <c r="E16">
        <v>8292</v>
      </c>
      <c r="F16" t="s">
        <v>10</v>
      </c>
      <c r="G16">
        <v>87</v>
      </c>
      <c r="H16">
        <v>742.15</v>
      </c>
      <c r="I16">
        <v>138</v>
      </c>
      <c r="J16">
        <f t="shared" si="0"/>
        <v>102416.7</v>
      </c>
      <c r="L16" t="s">
        <v>52</v>
      </c>
      <c r="M16">
        <f>N5-N3</f>
        <v>3.0139860139860133</v>
      </c>
      <c r="N16" t="s">
        <v>52</v>
      </c>
      <c r="O16">
        <f>P3-P5</f>
        <v>60435.401748251781</v>
      </c>
    </row>
    <row r="17" spans="1:15" x14ac:dyDescent="0.35">
      <c r="A17">
        <v>84</v>
      </c>
      <c r="B17" t="s">
        <v>25</v>
      </c>
      <c r="C17" t="s">
        <v>24</v>
      </c>
      <c r="D17" t="s">
        <v>17</v>
      </c>
      <c r="E17">
        <v>4239</v>
      </c>
      <c r="F17" t="s">
        <v>10</v>
      </c>
      <c r="G17">
        <v>21</v>
      </c>
      <c r="H17">
        <v>2392.13</v>
      </c>
      <c r="I17">
        <v>112</v>
      </c>
      <c r="J17">
        <f t="shared" si="0"/>
        <v>267918.56</v>
      </c>
    </row>
    <row r="18" spans="1:15" x14ac:dyDescent="0.35">
      <c r="A18">
        <v>93</v>
      </c>
      <c r="B18" t="s">
        <v>25</v>
      </c>
      <c r="C18" t="s">
        <v>9</v>
      </c>
      <c r="D18" t="s">
        <v>16</v>
      </c>
      <c r="E18">
        <v>2068</v>
      </c>
      <c r="F18" t="s">
        <v>10</v>
      </c>
      <c r="G18">
        <v>93</v>
      </c>
      <c r="H18">
        <v>3274.89</v>
      </c>
      <c r="I18">
        <v>97</v>
      </c>
      <c r="J18">
        <f t="shared" si="0"/>
        <v>317664.33</v>
      </c>
      <c r="L18" t="s">
        <v>46</v>
      </c>
    </row>
    <row r="19" spans="1:15" x14ac:dyDescent="0.35">
      <c r="A19">
        <v>95</v>
      </c>
      <c r="B19" t="s">
        <v>25</v>
      </c>
      <c r="C19" t="s">
        <v>8</v>
      </c>
      <c r="D19" t="s">
        <v>24</v>
      </c>
      <c r="E19">
        <v>11306</v>
      </c>
      <c r="F19" t="s">
        <v>10</v>
      </c>
      <c r="G19">
        <v>19</v>
      </c>
      <c r="H19">
        <v>5133.78</v>
      </c>
      <c r="I19">
        <v>67</v>
      </c>
      <c r="J19">
        <f t="shared" si="0"/>
        <v>343963.26</v>
      </c>
      <c r="L19" t="s">
        <v>41</v>
      </c>
      <c r="N19" t="s">
        <v>42</v>
      </c>
    </row>
    <row r="20" spans="1:15" x14ac:dyDescent="0.35">
      <c r="A20">
        <v>105</v>
      </c>
      <c r="B20" t="s">
        <v>25</v>
      </c>
      <c r="C20" t="s">
        <v>8</v>
      </c>
      <c r="D20" t="s">
        <v>20</v>
      </c>
      <c r="E20">
        <v>8427</v>
      </c>
      <c r="F20" t="s">
        <v>10</v>
      </c>
      <c r="G20">
        <v>19</v>
      </c>
      <c r="H20">
        <v>3758.74</v>
      </c>
      <c r="I20">
        <v>97</v>
      </c>
      <c r="J20">
        <f t="shared" si="0"/>
        <v>364597.77999999997</v>
      </c>
      <c r="L20" t="s">
        <v>49</v>
      </c>
      <c r="M20">
        <f>M3-M7</f>
        <v>324</v>
      </c>
      <c r="N20" t="s">
        <v>49</v>
      </c>
      <c r="O20">
        <f>O3-O7</f>
        <v>1497886.1000000006</v>
      </c>
    </row>
    <row r="21" spans="1:15" x14ac:dyDescent="0.35">
      <c r="A21">
        <v>173</v>
      </c>
      <c r="B21" t="s">
        <v>25</v>
      </c>
      <c r="C21" t="s">
        <v>8</v>
      </c>
      <c r="D21" t="s">
        <v>22</v>
      </c>
      <c r="E21">
        <v>2274</v>
      </c>
      <c r="F21" t="s">
        <v>10</v>
      </c>
      <c r="G21">
        <v>40</v>
      </c>
      <c r="H21">
        <v>2299.94</v>
      </c>
      <c r="I21">
        <v>20</v>
      </c>
      <c r="J21">
        <f t="shared" si="0"/>
        <v>45998.8</v>
      </c>
      <c r="L21" t="s">
        <v>52</v>
      </c>
      <c r="M21">
        <f>N3-N7</f>
        <v>23.309090909090912</v>
      </c>
      <c r="N21" t="s">
        <v>51</v>
      </c>
      <c r="O21">
        <f>P3-P7</f>
        <v>125331.90336363642</v>
      </c>
    </row>
    <row r="22" spans="1:15" x14ac:dyDescent="0.35">
      <c r="A22">
        <v>192</v>
      </c>
      <c r="B22" t="s">
        <v>25</v>
      </c>
      <c r="C22" t="s">
        <v>12</v>
      </c>
      <c r="D22" t="s">
        <v>9</v>
      </c>
      <c r="E22">
        <v>807</v>
      </c>
      <c r="F22" t="s">
        <v>10</v>
      </c>
      <c r="G22">
        <v>85</v>
      </c>
      <c r="H22">
        <v>2110.31</v>
      </c>
      <c r="I22">
        <v>33</v>
      </c>
      <c r="J22">
        <f t="shared" si="0"/>
        <v>69640.23</v>
      </c>
    </row>
    <row r="23" spans="1:15" x14ac:dyDescent="0.35">
      <c r="A23">
        <v>199</v>
      </c>
      <c r="B23" t="s">
        <v>25</v>
      </c>
      <c r="C23" t="s">
        <v>9</v>
      </c>
      <c r="D23" t="s">
        <v>23</v>
      </c>
      <c r="E23">
        <v>9628</v>
      </c>
      <c r="F23" t="s">
        <v>10</v>
      </c>
      <c r="G23">
        <v>31</v>
      </c>
      <c r="H23">
        <v>857.6</v>
      </c>
      <c r="I23">
        <v>97</v>
      </c>
      <c r="J23">
        <f t="shared" si="0"/>
        <v>83187.199999999997</v>
      </c>
      <c r="L23" t="s">
        <v>47</v>
      </c>
    </row>
    <row r="24" spans="1:15" x14ac:dyDescent="0.35">
      <c r="A24">
        <v>202</v>
      </c>
      <c r="B24" t="s">
        <v>25</v>
      </c>
      <c r="C24" t="s">
        <v>17</v>
      </c>
      <c r="D24" t="s">
        <v>16</v>
      </c>
      <c r="E24">
        <v>11626</v>
      </c>
      <c r="F24" t="s">
        <v>10</v>
      </c>
      <c r="G24">
        <v>68</v>
      </c>
      <c r="H24">
        <v>935.49</v>
      </c>
      <c r="I24">
        <v>170</v>
      </c>
      <c r="J24">
        <f t="shared" si="0"/>
        <v>159033.29999999999</v>
      </c>
      <c r="L24" t="s">
        <v>41</v>
      </c>
      <c r="N24" t="s">
        <v>42</v>
      </c>
    </row>
    <row r="25" spans="1:15" x14ac:dyDescent="0.35">
      <c r="A25">
        <v>227</v>
      </c>
      <c r="B25" t="s">
        <v>25</v>
      </c>
      <c r="C25" t="s">
        <v>24</v>
      </c>
      <c r="D25" t="s">
        <v>17</v>
      </c>
      <c r="E25">
        <v>5792</v>
      </c>
      <c r="F25" t="s">
        <v>10</v>
      </c>
      <c r="G25">
        <v>50</v>
      </c>
      <c r="H25">
        <v>1135.92</v>
      </c>
      <c r="I25">
        <v>100</v>
      </c>
      <c r="J25">
        <f t="shared" si="0"/>
        <v>113592</v>
      </c>
      <c r="L25" t="s">
        <v>50</v>
      </c>
      <c r="M25">
        <f>M5-M7</f>
        <v>545</v>
      </c>
      <c r="N25" t="s">
        <v>49</v>
      </c>
      <c r="O25">
        <f>O5-O7</f>
        <v>1201360.0100000002</v>
      </c>
    </row>
    <row r="26" spans="1:15" x14ac:dyDescent="0.35">
      <c r="A26">
        <v>20</v>
      </c>
      <c r="B26" t="s">
        <v>25</v>
      </c>
      <c r="C26" t="s">
        <v>9</v>
      </c>
      <c r="D26" t="s">
        <v>16</v>
      </c>
      <c r="E26">
        <v>9731</v>
      </c>
      <c r="F26" t="s">
        <v>18</v>
      </c>
      <c r="G26">
        <v>4</v>
      </c>
      <c r="H26">
        <v>1947.5</v>
      </c>
      <c r="I26">
        <v>81</v>
      </c>
      <c r="J26">
        <f t="shared" si="0"/>
        <v>157747.5</v>
      </c>
      <c r="L26" t="s">
        <v>51</v>
      </c>
      <c r="M26">
        <f>N5-N7</f>
        <v>26.323076923076925</v>
      </c>
      <c r="N26" t="s">
        <v>51</v>
      </c>
      <c r="O26">
        <f>P5-P7</f>
        <v>64896.501615384637</v>
      </c>
    </row>
    <row r="27" spans="1:15" x14ac:dyDescent="0.35">
      <c r="A27">
        <v>32</v>
      </c>
      <c r="B27" t="s">
        <v>25</v>
      </c>
      <c r="C27" t="s">
        <v>16</v>
      </c>
      <c r="D27" t="s">
        <v>23</v>
      </c>
      <c r="E27">
        <v>1682</v>
      </c>
      <c r="F27" t="s">
        <v>18</v>
      </c>
      <c r="G27">
        <v>83</v>
      </c>
      <c r="H27">
        <v>3316.6</v>
      </c>
      <c r="I27">
        <v>32</v>
      </c>
      <c r="J27">
        <f t="shared" si="0"/>
        <v>106131.2</v>
      </c>
    </row>
    <row r="28" spans="1:15" x14ac:dyDescent="0.35">
      <c r="A28">
        <v>61</v>
      </c>
      <c r="B28" t="s">
        <v>25</v>
      </c>
      <c r="C28" t="s">
        <v>23</v>
      </c>
      <c r="D28" t="s">
        <v>22</v>
      </c>
      <c r="E28">
        <v>11300</v>
      </c>
      <c r="F28" t="s">
        <v>18</v>
      </c>
      <c r="G28">
        <v>9</v>
      </c>
      <c r="H28">
        <v>293.25</v>
      </c>
      <c r="I28">
        <v>5</v>
      </c>
      <c r="J28">
        <f t="shared" si="0"/>
        <v>1466.25</v>
      </c>
    </row>
    <row r="29" spans="1:15" x14ac:dyDescent="0.35">
      <c r="A29">
        <v>82</v>
      </c>
      <c r="B29" t="s">
        <v>25</v>
      </c>
      <c r="C29" t="s">
        <v>23</v>
      </c>
      <c r="D29" t="s">
        <v>16</v>
      </c>
      <c r="E29">
        <v>804</v>
      </c>
      <c r="F29" t="s">
        <v>18</v>
      </c>
      <c r="G29">
        <v>16</v>
      </c>
      <c r="H29">
        <v>2045.27</v>
      </c>
      <c r="I29">
        <v>26</v>
      </c>
      <c r="J29">
        <f t="shared" si="0"/>
        <v>53177.02</v>
      </c>
    </row>
    <row r="30" spans="1:15" x14ac:dyDescent="0.35">
      <c r="A30">
        <v>97</v>
      </c>
      <c r="B30" t="s">
        <v>25</v>
      </c>
      <c r="C30" t="s">
        <v>9</v>
      </c>
      <c r="D30" t="s">
        <v>24</v>
      </c>
      <c r="E30">
        <v>1888</v>
      </c>
      <c r="F30" t="s">
        <v>18</v>
      </c>
      <c r="G30">
        <v>66</v>
      </c>
      <c r="H30">
        <v>916.41</v>
      </c>
      <c r="I30">
        <v>95</v>
      </c>
      <c r="J30">
        <f t="shared" si="0"/>
        <v>87058.95</v>
      </c>
    </row>
    <row r="31" spans="1:15" x14ac:dyDescent="0.35">
      <c r="A31">
        <v>138</v>
      </c>
      <c r="B31" t="s">
        <v>25</v>
      </c>
      <c r="C31" t="s">
        <v>17</v>
      </c>
      <c r="D31" t="s">
        <v>22</v>
      </c>
      <c r="E31">
        <v>7826</v>
      </c>
      <c r="F31" t="s">
        <v>18</v>
      </c>
      <c r="G31">
        <v>24</v>
      </c>
      <c r="H31">
        <v>1554.41</v>
      </c>
      <c r="I31">
        <v>41</v>
      </c>
      <c r="J31">
        <f t="shared" si="0"/>
        <v>63730.810000000005</v>
      </c>
    </row>
    <row r="32" spans="1:15" x14ac:dyDescent="0.35">
      <c r="A32">
        <v>169</v>
      </c>
      <c r="B32" t="s">
        <v>25</v>
      </c>
      <c r="C32" t="s">
        <v>8</v>
      </c>
      <c r="D32" t="s">
        <v>9</v>
      </c>
      <c r="E32">
        <v>10515</v>
      </c>
      <c r="F32" t="s">
        <v>18</v>
      </c>
      <c r="G32">
        <v>56</v>
      </c>
      <c r="H32">
        <v>1883.93</v>
      </c>
      <c r="I32">
        <v>33</v>
      </c>
      <c r="J32">
        <f t="shared" si="0"/>
        <v>62169.69</v>
      </c>
    </row>
    <row r="33" spans="1:10" x14ac:dyDescent="0.35">
      <c r="A33">
        <v>179</v>
      </c>
      <c r="B33" t="s">
        <v>25</v>
      </c>
      <c r="C33" t="s">
        <v>24</v>
      </c>
      <c r="D33" t="s">
        <v>17</v>
      </c>
      <c r="E33">
        <v>6952</v>
      </c>
      <c r="F33" t="s">
        <v>18</v>
      </c>
      <c r="G33">
        <v>93</v>
      </c>
      <c r="H33">
        <v>955.08</v>
      </c>
      <c r="I33">
        <v>100</v>
      </c>
      <c r="J33">
        <f t="shared" si="0"/>
        <v>95508</v>
      </c>
    </row>
    <row r="34" spans="1:10" x14ac:dyDescent="0.35">
      <c r="A34">
        <v>189</v>
      </c>
      <c r="B34" t="s">
        <v>25</v>
      </c>
      <c r="C34" t="s">
        <v>24</v>
      </c>
      <c r="D34" t="s">
        <v>8</v>
      </c>
      <c r="E34">
        <v>543</v>
      </c>
      <c r="F34" t="s">
        <v>18</v>
      </c>
      <c r="G34">
        <v>54</v>
      </c>
      <c r="H34">
        <v>4434.71</v>
      </c>
      <c r="I34">
        <v>99</v>
      </c>
      <c r="J34">
        <f t="shared" si="0"/>
        <v>439036.29</v>
      </c>
    </row>
    <row r="35" spans="1:10" x14ac:dyDescent="0.35">
      <c r="A35">
        <v>220</v>
      </c>
      <c r="B35" t="s">
        <v>25</v>
      </c>
      <c r="C35" t="s">
        <v>22</v>
      </c>
      <c r="D35" t="s">
        <v>24</v>
      </c>
      <c r="E35">
        <v>1463</v>
      </c>
      <c r="F35" t="s">
        <v>18</v>
      </c>
      <c r="G35">
        <v>32</v>
      </c>
      <c r="H35">
        <v>770.28</v>
      </c>
      <c r="I35">
        <v>164</v>
      </c>
      <c r="J35">
        <f t="shared" si="0"/>
        <v>126325.92</v>
      </c>
    </row>
  </sheetData>
  <pageMargins left="0.7" right="0.7" top="0.75" bottom="0.75" header="0.3" footer="0.3"/>
  <ignoredErrors>
    <ignoredError sqref="M3:N3 M5:N5 M7:N7"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25409-A403-4474-8DFA-703D4551272B}">
  <dimension ref="A1:P37"/>
  <sheetViews>
    <sheetView workbookViewId="0">
      <selection activeCell="O11" sqref="O11"/>
    </sheetView>
  </sheetViews>
  <sheetFormatPr defaultRowHeight="14.5" x14ac:dyDescent="0.35"/>
  <cols>
    <col min="2" max="2" width="13.453125" customWidth="1"/>
    <col min="10" max="10" width="15.1796875" customWidth="1"/>
    <col min="13" max="13" width="10" customWidth="1"/>
    <col min="14" max="14" width="12.36328125" customWidth="1"/>
    <col min="15" max="15" width="13.6328125" customWidth="1"/>
    <col min="16" max="16" width="16.1796875" customWidth="1"/>
  </cols>
  <sheetData>
    <row r="1" spans="1:16" x14ac:dyDescent="0.35">
      <c r="A1" t="s">
        <v>0</v>
      </c>
      <c r="B1" t="s">
        <v>1</v>
      </c>
      <c r="C1" t="s">
        <v>2</v>
      </c>
      <c r="D1" t="s">
        <v>3</v>
      </c>
      <c r="E1" t="s">
        <v>4</v>
      </c>
      <c r="F1" t="s">
        <v>5</v>
      </c>
      <c r="G1" t="s">
        <v>6</v>
      </c>
      <c r="H1" t="s">
        <v>7</v>
      </c>
      <c r="I1" t="s">
        <v>26</v>
      </c>
      <c r="J1" t="s">
        <v>27</v>
      </c>
      <c r="L1" t="s">
        <v>5</v>
      </c>
      <c r="M1" t="s">
        <v>32</v>
      </c>
      <c r="N1" t="s">
        <v>33</v>
      </c>
      <c r="O1" t="s">
        <v>34</v>
      </c>
      <c r="P1" t="s">
        <v>35</v>
      </c>
    </row>
    <row r="2" spans="1:16" x14ac:dyDescent="0.35">
      <c r="A2">
        <v>5</v>
      </c>
      <c r="B2" t="s">
        <v>21</v>
      </c>
      <c r="C2" t="s">
        <v>22</v>
      </c>
      <c r="D2" t="s">
        <v>16</v>
      </c>
      <c r="E2">
        <v>1308</v>
      </c>
      <c r="F2" t="s">
        <v>14</v>
      </c>
      <c r="G2">
        <v>60</v>
      </c>
      <c r="H2">
        <v>626.66</v>
      </c>
      <c r="I2">
        <v>92</v>
      </c>
      <c r="J2">
        <f t="shared" ref="J2:J37" si="0">H2*I2</f>
        <v>57652.719999999994</v>
      </c>
    </row>
    <row r="3" spans="1:16" x14ac:dyDescent="0.35">
      <c r="A3">
        <v>9</v>
      </c>
      <c r="B3" t="s">
        <v>21</v>
      </c>
      <c r="C3" t="s">
        <v>9</v>
      </c>
      <c r="D3" t="s">
        <v>17</v>
      </c>
      <c r="E3">
        <v>7150</v>
      </c>
      <c r="F3" t="s">
        <v>14</v>
      </c>
      <c r="G3">
        <v>24</v>
      </c>
      <c r="H3">
        <v>1254.97</v>
      </c>
      <c r="I3">
        <v>121</v>
      </c>
      <c r="J3">
        <f t="shared" si="0"/>
        <v>151851.37</v>
      </c>
      <c r="L3" t="s">
        <v>14</v>
      </c>
      <c r="M3">
        <f>SUM(I2:I12)</f>
        <v>1027</v>
      </c>
      <c r="N3">
        <f>AVERAGE(I2:I12)</f>
        <v>93.36363636363636</v>
      </c>
      <c r="O3">
        <f>SUM(J2:J12)</f>
        <v>1703027.3999999994</v>
      </c>
      <c r="P3">
        <f>AVERAGE(J2:J12)</f>
        <v>154820.67272727267</v>
      </c>
    </row>
    <row r="4" spans="1:16" x14ac:dyDescent="0.35">
      <c r="A4">
        <v>12</v>
      </c>
      <c r="B4" t="s">
        <v>21</v>
      </c>
      <c r="C4" t="s">
        <v>22</v>
      </c>
      <c r="D4" t="s">
        <v>24</v>
      </c>
      <c r="E4">
        <v>5589</v>
      </c>
      <c r="F4" t="s">
        <v>14</v>
      </c>
      <c r="G4">
        <v>108</v>
      </c>
      <c r="H4">
        <v>3519.14</v>
      </c>
      <c r="I4">
        <v>19</v>
      </c>
      <c r="J4">
        <f t="shared" si="0"/>
        <v>66863.66</v>
      </c>
    </row>
    <row r="5" spans="1:16" x14ac:dyDescent="0.35">
      <c r="A5">
        <v>29</v>
      </c>
      <c r="B5" t="s">
        <v>21</v>
      </c>
      <c r="C5" t="s">
        <v>23</v>
      </c>
      <c r="D5" t="s">
        <v>12</v>
      </c>
      <c r="E5">
        <v>2817</v>
      </c>
      <c r="F5" t="s">
        <v>14</v>
      </c>
      <c r="G5">
        <v>99</v>
      </c>
      <c r="H5">
        <v>5367.82</v>
      </c>
      <c r="I5">
        <v>129</v>
      </c>
      <c r="J5">
        <f t="shared" si="0"/>
        <v>692448.77999999991</v>
      </c>
      <c r="L5" t="s">
        <v>10</v>
      </c>
      <c r="M5">
        <f>SUM(I13:I22)</f>
        <v>817</v>
      </c>
      <c r="N5">
        <f>AVERAGE(I13:I22)</f>
        <v>81.7</v>
      </c>
      <c r="O5">
        <f>SUM(J13:J22)</f>
        <v>2251871.79</v>
      </c>
      <c r="P5">
        <f>AVERAGE(J13:J22)</f>
        <v>225187.179</v>
      </c>
    </row>
    <row r="6" spans="1:16" x14ac:dyDescent="0.35">
      <c r="A6">
        <v>87</v>
      </c>
      <c r="B6" t="s">
        <v>21</v>
      </c>
      <c r="C6" t="s">
        <v>8</v>
      </c>
      <c r="D6" t="s">
        <v>17</v>
      </c>
      <c r="E6">
        <v>884</v>
      </c>
      <c r="F6" t="s">
        <v>14</v>
      </c>
      <c r="G6">
        <v>14</v>
      </c>
      <c r="H6">
        <v>3172.05</v>
      </c>
      <c r="I6">
        <v>60</v>
      </c>
      <c r="J6">
        <f t="shared" si="0"/>
        <v>190323</v>
      </c>
    </row>
    <row r="7" spans="1:16" x14ac:dyDescent="0.35">
      <c r="A7">
        <v>90</v>
      </c>
      <c r="B7" t="s">
        <v>21</v>
      </c>
      <c r="C7" t="s">
        <v>12</v>
      </c>
      <c r="D7" t="s">
        <v>13</v>
      </c>
      <c r="E7">
        <v>11901</v>
      </c>
      <c r="F7" t="s">
        <v>14</v>
      </c>
      <c r="G7">
        <v>75</v>
      </c>
      <c r="H7">
        <v>365.36</v>
      </c>
      <c r="I7">
        <v>181</v>
      </c>
      <c r="J7">
        <f t="shared" si="0"/>
        <v>66130.16</v>
      </c>
      <c r="L7" t="s">
        <v>18</v>
      </c>
      <c r="M7">
        <f>SUM(I23:I37)</f>
        <v>1500</v>
      </c>
      <c r="N7">
        <f>AVERAGE(I23:I37)</f>
        <v>100</v>
      </c>
      <c r="O7">
        <f>SUM(J23:J37)</f>
        <v>4167469.37</v>
      </c>
      <c r="P7">
        <f>AVERAGE(J23:J37)</f>
        <v>277831.29133333336</v>
      </c>
    </row>
    <row r="8" spans="1:16" x14ac:dyDescent="0.35">
      <c r="A8">
        <v>110</v>
      </c>
      <c r="B8" t="s">
        <v>21</v>
      </c>
      <c r="C8" t="s">
        <v>12</v>
      </c>
      <c r="D8" t="s">
        <v>17</v>
      </c>
      <c r="E8">
        <v>2623</v>
      </c>
      <c r="F8" t="s">
        <v>14</v>
      </c>
      <c r="G8">
        <v>18</v>
      </c>
      <c r="H8">
        <v>1069.93</v>
      </c>
      <c r="I8">
        <v>200</v>
      </c>
      <c r="J8">
        <f t="shared" si="0"/>
        <v>213986</v>
      </c>
      <c r="L8" t="s">
        <v>49</v>
      </c>
      <c r="M8">
        <f>SUM(M3:M7)</f>
        <v>3344</v>
      </c>
      <c r="N8">
        <f>SUM(N3:N7)</f>
        <v>275.06363636363636</v>
      </c>
      <c r="O8">
        <f>SUM(O3:O7)</f>
        <v>8122368.5599999996</v>
      </c>
      <c r="P8">
        <f>SUM(P3:P7)</f>
        <v>657839.14306060597</v>
      </c>
    </row>
    <row r="9" spans="1:16" x14ac:dyDescent="0.35">
      <c r="A9">
        <v>124</v>
      </c>
      <c r="B9" t="s">
        <v>21</v>
      </c>
      <c r="C9" t="s">
        <v>9</v>
      </c>
      <c r="D9" t="s">
        <v>16</v>
      </c>
      <c r="E9">
        <v>2970</v>
      </c>
      <c r="F9" t="s">
        <v>14</v>
      </c>
      <c r="G9">
        <v>69</v>
      </c>
      <c r="H9">
        <v>275.33999999999997</v>
      </c>
      <c r="I9">
        <v>107</v>
      </c>
      <c r="J9">
        <f t="shared" si="0"/>
        <v>29461.379999999997</v>
      </c>
    </row>
    <row r="10" spans="1:16" x14ac:dyDescent="0.35">
      <c r="A10">
        <v>140</v>
      </c>
      <c r="B10" t="s">
        <v>21</v>
      </c>
      <c r="C10" t="s">
        <v>9</v>
      </c>
      <c r="D10" t="s">
        <v>20</v>
      </c>
      <c r="E10">
        <v>11511</v>
      </c>
      <c r="F10" t="s">
        <v>14</v>
      </c>
      <c r="G10">
        <v>66</v>
      </c>
      <c r="H10">
        <v>2601.86</v>
      </c>
      <c r="I10">
        <v>86</v>
      </c>
      <c r="J10">
        <f t="shared" si="0"/>
        <v>223759.96000000002</v>
      </c>
    </row>
    <row r="11" spans="1:16" x14ac:dyDescent="0.35">
      <c r="A11">
        <v>147</v>
      </c>
      <c r="B11" t="s">
        <v>21</v>
      </c>
      <c r="C11" t="s">
        <v>20</v>
      </c>
      <c r="D11" t="s">
        <v>8</v>
      </c>
      <c r="E11">
        <v>9400</v>
      </c>
      <c r="F11" t="s">
        <v>14</v>
      </c>
      <c r="G11">
        <v>117</v>
      </c>
      <c r="H11">
        <v>395.88</v>
      </c>
      <c r="I11">
        <v>23</v>
      </c>
      <c r="J11">
        <f t="shared" si="0"/>
        <v>9105.24</v>
      </c>
      <c r="L11" t="s">
        <v>38</v>
      </c>
    </row>
    <row r="12" spans="1:16" x14ac:dyDescent="0.35">
      <c r="A12">
        <v>230</v>
      </c>
      <c r="B12" t="s">
        <v>21</v>
      </c>
      <c r="C12" t="s">
        <v>22</v>
      </c>
      <c r="D12" t="s">
        <v>17</v>
      </c>
      <c r="E12">
        <v>376</v>
      </c>
      <c r="F12" t="s">
        <v>14</v>
      </c>
      <c r="G12">
        <v>48</v>
      </c>
      <c r="H12">
        <v>160.57</v>
      </c>
      <c r="I12">
        <v>9</v>
      </c>
      <c r="J12">
        <f t="shared" si="0"/>
        <v>1445.1299999999999</v>
      </c>
    </row>
    <row r="13" spans="1:16" x14ac:dyDescent="0.35">
      <c r="A13">
        <v>14</v>
      </c>
      <c r="B13" t="s">
        <v>21</v>
      </c>
      <c r="C13" t="s">
        <v>22</v>
      </c>
      <c r="D13" t="s">
        <v>24</v>
      </c>
      <c r="E13">
        <v>9572</v>
      </c>
      <c r="F13" t="s">
        <v>10</v>
      </c>
      <c r="G13">
        <v>48</v>
      </c>
      <c r="H13">
        <v>3485.76</v>
      </c>
      <c r="I13">
        <v>72</v>
      </c>
      <c r="J13">
        <f t="shared" si="0"/>
        <v>250974.72000000003</v>
      </c>
      <c r="L13" t="s">
        <v>45</v>
      </c>
    </row>
    <row r="14" spans="1:16" x14ac:dyDescent="0.35">
      <c r="A14">
        <v>40</v>
      </c>
      <c r="B14" t="s">
        <v>21</v>
      </c>
      <c r="C14" t="s">
        <v>8</v>
      </c>
      <c r="D14" t="s">
        <v>24</v>
      </c>
      <c r="E14">
        <v>4434</v>
      </c>
      <c r="F14" t="s">
        <v>10</v>
      </c>
      <c r="G14">
        <v>99</v>
      </c>
      <c r="H14">
        <v>1798.55</v>
      </c>
      <c r="I14">
        <v>150</v>
      </c>
      <c r="J14">
        <f t="shared" si="0"/>
        <v>269782.5</v>
      </c>
      <c r="L14" t="s">
        <v>41</v>
      </c>
      <c r="N14" t="s">
        <v>42</v>
      </c>
    </row>
    <row r="15" spans="1:16" x14ac:dyDescent="0.35">
      <c r="A15">
        <v>42</v>
      </c>
      <c r="B15" t="s">
        <v>21</v>
      </c>
      <c r="C15" t="s">
        <v>12</v>
      </c>
      <c r="D15" t="s">
        <v>16</v>
      </c>
      <c r="E15">
        <v>11502</v>
      </c>
      <c r="F15" t="s">
        <v>10</v>
      </c>
      <c r="G15">
        <v>43</v>
      </c>
      <c r="H15">
        <v>3552.64</v>
      </c>
      <c r="I15">
        <v>66</v>
      </c>
      <c r="J15">
        <f t="shared" si="0"/>
        <v>234474.23999999999</v>
      </c>
      <c r="L15" t="s">
        <v>49</v>
      </c>
      <c r="M15">
        <f>M3-M5</f>
        <v>210</v>
      </c>
      <c r="N15" t="s">
        <v>49</v>
      </c>
      <c r="O15">
        <f>O5-O3</f>
        <v>548844.3900000006</v>
      </c>
    </row>
    <row r="16" spans="1:16" x14ac:dyDescent="0.35">
      <c r="A16">
        <v>49</v>
      </c>
      <c r="B16" t="s">
        <v>21</v>
      </c>
      <c r="C16" t="s">
        <v>20</v>
      </c>
      <c r="D16" t="s">
        <v>23</v>
      </c>
      <c r="E16">
        <v>3482</v>
      </c>
      <c r="F16" t="s">
        <v>10</v>
      </c>
      <c r="G16">
        <v>90</v>
      </c>
      <c r="H16">
        <v>2052.9699999999998</v>
      </c>
      <c r="I16">
        <v>16</v>
      </c>
      <c r="J16">
        <f t="shared" si="0"/>
        <v>32847.519999999997</v>
      </c>
      <c r="L16" t="s">
        <v>52</v>
      </c>
      <c r="M16">
        <f>N3-N5</f>
        <v>11.663636363636357</v>
      </c>
      <c r="N16" t="s">
        <v>52</v>
      </c>
      <c r="O16">
        <f>P5-P3</f>
        <v>70366.506272727333</v>
      </c>
    </row>
    <row r="17" spans="1:15" x14ac:dyDescent="0.35">
      <c r="A17">
        <v>52</v>
      </c>
      <c r="B17" t="s">
        <v>21</v>
      </c>
      <c r="C17" t="s">
        <v>8</v>
      </c>
      <c r="D17" t="s">
        <v>20</v>
      </c>
      <c r="E17">
        <v>8504</v>
      </c>
      <c r="F17" t="s">
        <v>10</v>
      </c>
      <c r="G17">
        <v>76</v>
      </c>
      <c r="H17">
        <v>5363.96</v>
      </c>
      <c r="I17">
        <v>15</v>
      </c>
      <c r="J17">
        <f t="shared" si="0"/>
        <v>80459.399999999994</v>
      </c>
    </row>
    <row r="18" spans="1:15" x14ac:dyDescent="0.35">
      <c r="A18">
        <v>72</v>
      </c>
      <c r="B18" t="s">
        <v>21</v>
      </c>
      <c r="C18" t="s">
        <v>24</v>
      </c>
      <c r="D18" t="s">
        <v>9</v>
      </c>
      <c r="E18">
        <v>5031</v>
      </c>
      <c r="F18" t="s">
        <v>10</v>
      </c>
      <c r="G18">
        <v>92</v>
      </c>
      <c r="H18">
        <v>451.04</v>
      </c>
      <c r="I18">
        <v>148</v>
      </c>
      <c r="J18">
        <f t="shared" si="0"/>
        <v>66753.919999999998</v>
      </c>
      <c r="L18" t="s">
        <v>43</v>
      </c>
    </row>
    <row r="19" spans="1:15" x14ac:dyDescent="0.35">
      <c r="A19">
        <v>152</v>
      </c>
      <c r="B19" t="s">
        <v>21</v>
      </c>
      <c r="C19" t="s">
        <v>16</v>
      </c>
      <c r="D19" t="s">
        <v>8</v>
      </c>
      <c r="E19">
        <v>4151</v>
      </c>
      <c r="F19" t="s">
        <v>10</v>
      </c>
      <c r="G19">
        <v>23</v>
      </c>
      <c r="H19">
        <v>2026.29</v>
      </c>
      <c r="I19">
        <v>40</v>
      </c>
      <c r="J19">
        <f t="shared" si="0"/>
        <v>81051.600000000006</v>
      </c>
      <c r="L19" t="s">
        <v>41</v>
      </c>
      <c r="N19" t="s">
        <v>42</v>
      </c>
    </row>
    <row r="20" spans="1:15" x14ac:dyDescent="0.35">
      <c r="A20">
        <v>154</v>
      </c>
      <c r="B20" t="s">
        <v>21</v>
      </c>
      <c r="C20" t="s">
        <v>8</v>
      </c>
      <c r="D20" t="s">
        <v>16</v>
      </c>
      <c r="E20">
        <v>6407</v>
      </c>
      <c r="F20" t="s">
        <v>10</v>
      </c>
      <c r="G20">
        <v>89</v>
      </c>
      <c r="H20">
        <v>614.54999999999995</v>
      </c>
      <c r="I20">
        <v>38</v>
      </c>
      <c r="J20">
        <f t="shared" si="0"/>
        <v>23352.899999999998</v>
      </c>
      <c r="L20" t="s">
        <v>49</v>
      </c>
      <c r="M20">
        <f>M7-M3</f>
        <v>473</v>
      </c>
      <c r="N20" t="s">
        <v>49</v>
      </c>
      <c r="O20">
        <f>O7-O3</f>
        <v>2464441.9700000007</v>
      </c>
    </row>
    <row r="21" spans="1:15" x14ac:dyDescent="0.35">
      <c r="A21">
        <v>168</v>
      </c>
      <c r="B21" t="s">
        <v>21</v>
      </c>
      <c r="C21" t="s">
        <v>12</v>
      </c>
      <c r="D21" t="s">
        <v>8</v>
      </c>
      <c r="E21">
        <v>10760</v>
      </c>
      <c r="F21" t="s">
        <v>10</v>
      </c>
      <c r="G21">
        <v>32</v>
      </c>
      <c r="H21">
        <v>2737.17</v>
      </c>
      <c r="I21">
        <v>157</v>
      </c>
      <c r="J21">
        <f t="shared" si="0"/>
        <v>429735.69</v>
      </c>
      <c r="L21" t="s">
        <v>51</v>
      </c>
      <c r="M21">
        <f>N7-N3</f>
        <v>6.6363636363636402</v>
      </c>
      <c r="N21" t="s">
        <v>51</v>
      </c>
      <c r="O21">
        <f>P7-P3</f>
        <v>123010.61860606069</v>
      </c>
    </row>
    <row r="22" spans="1:15" x14ac:dyDescent="0.35">
      <c r="A22">
        <v>195</v>
      </c>
      <c r="B22" t="s">
        <v>21</v>
      </c>
      <c r="C22" t="s">
        <v>23</v>
      </c>
      <c r="D22" t="s">
        <v>24</v>
      </c>
      <c r="E22">
        <v>3900</v>
      </c>
      <c r="F22" t="s">
        <v>10</v>
      </c>
      <c r="G22">
        <v>3</v>
      </c>
      <c r="H22">
        <v>6803.82</v>
      </c>
      <c r="I22">
        <v>115</v>
      </c>
      <c r="J22">
        <f t="shared" si="0"/>
        <v>782439.29999999993</v>
      </c>
    </row>
    <row r="23" spans="1:15" x14ac:dyDescent="0.35">
      <c r="A23">
        <v>21</v>
      </c>
      <c r="B23" t="s">
        <v>21</v>
      </c>
      <c r="C23" t="s">
        <v>22</v>
      </c>
      <c r="D23" t="s">
        <v>23</v>
      </c>
      <c r="E23">
        <v>10971</v>
      </c>
      <c r="F23" t="s">
        <v>18</v>
      </c>
      <c r="G23">
        <v>19</v>
      </c>
      <c r="H23">
        <v>4419.58</v>
      </c>
      <c r="I23">
        <v>143</v>
      </c>
      <c r="J23">
        <f t="shared" si="0"/>
        <v>631999.93999999994</v>
      </c>
      <c r="L23" t="s">
        <v>47</v>
      </c>
    </row>
    <row r="24" spans="1:15" x14ac:dyDescent="0.35">
      <c r="A24">
        <v>45</v>
      </c>
      <c r="B24" t="s">
        <v>21</v>
      </c>
      <c r="C24" t="s">
        <v>17</v>
      </c>
      <c r="D24" t="s">
        <v>9</v>
      </c>
      <c r="E24">
        <v>471</v>
      </c>
      <c r="F24" t="s">
        <v>18</v>
      </c>
      <c r="G24">
        <v>88</v>
      </c>
      <c r="H24">
        <v>2536.2800000000002</v>
      </c>
      <c r="I24">
        <v>144</v>
      </c>
      <c r="J24">
        <f t="shared" si="0"/>
        <v>365224.32</v>
      </c>
      <c r="L24" t="s">
        <v>41</v>
      </c>
      <c r="N24" t="s">
        <v>42</v>
      </c>
    </row>
    <row r="25" spans="1:15" x14ac:dyDescent="0.35">
      <c r="A25">
        <v>58</v>
      </c>
      <c r="B25" t="s">
        <v>21</v>
      </c>
      <c r="C25" t="s">
        <v>8</v>
      </c>
      <c r="D25" t="s">
        <v>9</v>
      </c>
      <c r="E25">
        <v>5736</v>
      </c>
      <c r="F25" t="s">
        <v>18</v>
      </c>
      <c r="G25">
        <v>30</v>
      </c>
      <c r="H25">
        <v>6473.45</v>
      </c>
      <c r="I25">
        <v>142</v>
      </c>
      <c r="J25">
        <f t="shared" si="0"/>
        <v>919229.9</v>
      </c>
      <c r="L25" t="s">
        <v>49</v>
      </c>
      <c r="M25">
        <f>M7-M5</f>
        <v>683</v>
      </c>
      <c r="N25" t="s">
        <v>50</v>
      </c>
      <c r="O25">
        <f>O7-O5</f>
        <v>1915597.58</v>
      </c>
    </row>
    <row r="26" spans="1:15" x14ac:dyDescent="0.35">
      <c r="A26">
        <v>67</v>
      </c>
      <c r="B26" t="s">
        <v>21</v>
      </c>
      <c r="C26" t="s">
        <v>13</v>
      </c>
      <c r="D26" t="s">
        <v>24</v>
      </c>
      <c r="E26">
        <v>6879</v>
      </c>
      <c r="F26" t="s">
        <v>18</v>
      </c>
      <c r="G26">
        <v>111</v>
      </c>
      <c r="H26">
        <v>3391.11</v>
      </c>
      <c r="I26">
        <v>163</v>
      </c>
      <c r="J26">
        <f t="shared" si="0"/>
        <v>552750.93000000005</v>
      </c>
      <c r="L26" t="s">
        <v>51</v>
      </c>
      <c r="M26">
        <f>N7-N5</f>
        <v>18.299999999999997</v>
      </c>
      <c r="N26" t="s">
        <v>51</v>
      </c>
      <c r="O26">
        <f>P7-P5</f>
        <v>52644.112333333353</v>
      </c>
    </row>
    <row r="27" spans="1:15" x14ac:dyDescent="0.35">
      <c r="A27">
        <v>70</v>
      </c>
      <c r="B27" t="s">
        <v>21</v>
      </c>
      <c r="C27" t="s">
        <v>24</v>
      </c>
      <c r="D27" t="s">
        <v>8</v>
      </c>
      <c r="E27">
        <v>4258</v>
      </c>
      <c r="F27" t="s">
        <v>18</v>
      </c>
      <c r="G27">
        <v>60</v>
      </c>
      <c r="H27">
        <v>2116.88</v>
      </c>
      <c r="I27">
        <v>181</v>
      </c>
      <c r="J27">
        <f t="shared" si="0"/>
        <v>383155.28</v>
      </c>
    </row>
    <row r="28" spans="1:15" x14ac:dyDescent="0.35">
      <c r="A28">
        <v>133</v>
      </c>
      <c r="B28" t="s">
        <v>21</v>
      </c>
      <c r="C28" t="s">
        <v>12</v>
      </c>
      <c r="D28" t="s">
        <v>9</v>
      </c>
      <c r="E28">
        <v>484</v>
      </c>
      <c r="F28" t="s">
        <v>18</v>
      </c>
      <c r="G28">
        <v>70</v>
      </c>
      <c r="H28">
        <v>2396.7600000000002</v>
      </c>
      <c r="I28">
        <v>5</v>
      </c>
      <c r="J28">
        <f t="shared" si="0"/>
        <v>11983.800000000001</v>
      </c>
    </row>
    <row r="29" spans="1:15" x14ac:dyDescent="0.35">
      <c r="A29">
        <v>150</v>
      </c>
      <c r="B29" t="s">
        <v>21</v>
      </c>
      <c r="C29" t="s">
        <v>22</v>
      </c>
      <c r="D29" t="s">
        <v>20</v>
      </c>
      <c r="E29">
        <v>6143</v>
      </c>
      <c r="F29" t="s">
        <v>18</v>
      </c>
      <c r="G29">
        <v>14</v>
      </c>
      <c r="H29">
        <v>912.09</v>
      </c>
      <c r="I29">
        <v>7</v>
      </c>
      <c r="J29">
        <f t="shared" si="0"/>
        <v>6384.63</v>
      </c>
    </row>
    <row r="30" spans="1:15" x14ac:dyDescent="0.35">
      <c r="A30">
        <v>151</v>
      </c>
      <c r="B30" t="s">
        <v>21</v>
      </c>
      <c r="C30" t="s">
        <v>24</v>
      </c>
      <c r="D30" t="s">
        <v>9</v>
      </c>
      <c r="E30">
        <v>3733</v>
      </c>
      <c r="F30" t="s">
        <v>18</v>
      </c>
      <c r="G30">
        <v>48</v>
      </c>
      <c r="H30">
        <v>1486.51</v>
      </c>
      <c r="I30">
        <v>95</v>
      </c>
      <c r="J30">
        <f t="shared" si="0"/>
        <v>141218.45000000001</v>
      </c>
    </row>
    <row r="31" spans="1:15" x14ac:dyDescent="0.35">
      <c r="A31">
        <v>163</v>
      </c>
      <c r="B31" t="s">
        <v>21</v>
      </c>
      <c r="C31" t="s">
        <v>16</v>
      </c>
      <c r="D31" t="s">
        <v>13</v>
      </c>
      <c r="E31">
        <v>11848</v>
      </c>
      <c r="F31" t="s">
        <v>18</v>
      </c>
      <c r="G31">
        <v>81</v>
      </c>
      <c r="H31">
        <v>4168.67</v>
      </c>
      <c r="I31">
        <v>130</v>
      </c>
      <c r="J31">
        <f t="shared" si="0"/>
        <v>541927.1</v>
      </c>
    </row>
    <row r="32" spans="1:15" x14ac:dyDescent="0.35">
      <c r="A32">
        <v>164</v>
      </c>
      <c r="B32" t="s">
        <v>21</v>
      </c>
      <c r="C32" t="s">
        <v>9</v>
      </c>
      <c r="D32" t="s">
        <v>8</v>
      </c>
      <c r="E32">
        <v>9012</v>
      </c>
      <c r="F32" t="s">
        <v>18</v>
      </c>
      <c r="G32">
        <v>38</v>
      </c>
      <c r="H32">
        <v>821.38</v>
      </c>
      <c r="I32">
        <v>118</v>
      </c>
      <c r="J32">
        <f t="shared" si="0"/>
        <v>96922.84</v>
      </c>
    </row>
    <row r="33" spans="1:10" x14ac:dyDescent="0.35">
      <c r="A33">
        <v>165</v>
      </c>
      <c r="B33" t="s">
        <v>21</v>
      </c>
      <c r="C33" t="s">
        <v>12</v>
      </c>
      <c r="D33" t="s">
        <v>20</v>
      </c>
      <c r="E33">
        <v>4565</v>
      </c>
      <c r="F33" t="s">
        <v>18</v>
      </c>
      <c r="G33">
        <v>81</v>
      </c>
      <c r="H33">
        <v>1767.21</v>
      </c>
      <c r="I33">
        <v>106</v>
      </c>
      <c r="J33">
        <f t="shared" si="0"/>
        <v>187324.26</v>
      </c>
    </row>
    <row r="34" spans="1:10" x14ac:dyDescent="0.35">
      <c r="A34">
        <v>194</v>
      </c>
      <c r="B34" t="s">
        <v>21</v>
      </c>
      <c r="C34" t="s">
        <v>16</v>
      </c>
      <c r="D34" t="s">
        <v>22</v>
      </c>
      <c r="E34">
        <v>1647</v>
      </c>
      <c r="F34" t="s">
        <v>18</v>
      </c>
      <c r="G34">
        <v>70</v>
      </c>
      <c r="H34">
        <v>425.98</v>
      </c>
      <c r="I34">
        <v>40</v>
      </c>
      <c r="J34">
        <f t="shared" si="0"/>
        <v>17039.2</v>
      </c>
    </row>
    <row r="35" spans="1:10" x14ac:dyDescent="0.35">
      <c r="A35">
        <v>196</v>
      </c>
      <c r="B35" t="s">
        <v>21</v>
      </c>
      <c r="C35" t="s">
        <v>16</v>
      </c>
      <c r="D35" t="s">
        <v>23</v>
      </c>
      <c r="E35">
        <v>1891</v>
      </c>
      <c r="F35" t="s">
        <v>18</v>
      </c>
      <c r="G35">
        <v>76</v>
      </c>
      <c r="H35">
        <v>2026.24</v>
      </c>
      <c r="I35">
        <v>95</v>
      </c>
      <c r="J35">
        <f t="shared" si="0"/>
        <v>192492.79999999999</v>
      </c>
    </row>
    <row r="36" spans="1:10" x14ac:dyDescent="0.35">
      <c r="A36">
        <v>231</v>
      </c>
      <c r="B36" t="s">
        <v>21</v>
      </c>
      <c r="C36" t="s">
        <v>20</v>
      </c>
      <c r="D36" t="s">
        <v>8</v>
      </c>
      <c r="E36">
        <v>11153</v>
      </c>
      <c r="F36" t="s">
        <v>18</v>
      </c>
      <c r="G36">
        <v>1</v>
      </c>
      <c r="H36">
        <v>1204.97</v>
      </c>
      <c r="I36">
        <v>36</v>
      </c>
      <c r="J36">
        <f t="shared" si="0"/>
        <v>43378.92</v>
      </c>
    </row>
    <row r="37" spans="1:10" x14ac:dyDescent="0.35">
      <c r="A37">
        <v>246</v>
      </c>
      <c r="B37" t="s">
        <v>21</v>
      </c>
      <c r="C37" t="s">
        <v>24</v>
      </c>
      <c r="D37" t="s">
        <v>9</v>
      </c>
      <c r="E37">
        <v>2389</v>
      </c>
      <c r="F37" t="s">
        <v>18</v>
      </c>
      <c r="G37">
        <v>33</v>
      </c>
      <c r="H37">
        <v>804.6</v>
      </c>
      <c r="I37">
        <v>95</v>
      </c>
      <c r="J37">
        <f t="shared" si="0"/>
        <v>76437</v>
      </c>
    </row>
  </sheetData>
  <pageMargins left="0.7" right="0.7" top="0.75" bottom="0.75" header="0.3" footer="0.3"/>
  <ignoredErrors>
    <ignoredError sqref="M3:N3 M5:N5 M7:N7"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FB74D-A5EB-42E6-AF92-31FF481C5430}">
  <dimension ref="A1:P27"/>
  <sheetViews>
    <sheetView workbookViewId="0">
      <selection activeCell="O12" sqref="O12"/>
    </sheetView>
  </sheetViews>
  <sheetFormatPr defaultRowHeight="14.5" x14ac:dyDescent="0.35"/>
  <cols>
    <col min="2" max="2" width="16.1796875" customWidth="1"/>
    <col min="10" max="10" width="13.453125" customWidth="1"/>
    <col min="13" max="13" width="9.54296875" customWidth="1"/>
    <col min="14" max="14" width="12.36328125" customWidth="1"/>
    <col min="15" max="15" width="13.453125" customWidth="1"/>
    <col min="16" max="16" width="15.08984375" customWidth="1"/>
  </cols>
  <sheetData>
    <row r="1" spans="1:16" x14ac:dyDescent="0.35">
      <c r="A1" t="s">
        <v>0</v>
      </c>
      <c r="B1" t="s">
        <v>1</v>
      </c>
      <c r="C1" t="s">
        <v>2</v>
      </c>
      <c r="D1" t="s">
        <v>3</v>
      </c>
      <c r="E1" t="s">
        <v>4</v>
      </c>
      <c r="F1" t="s">
        <v>5</v>
      </c>
      <c r="G1" t="s">
        <v>6</v>
      </c>
      <c r="H1" t="s">
        <v>7</v>
      </c>
      <c r="I1" t="s">
        <v>26</v>
      </c>
      <c r="J1" t="s">
        <v>27</v>
      </c>
      <c r="L1" t="s">
        <v>5</v>
      </c>
      <c r="M1" t="s">
        <v>32</v>
      </c>
      <c r="N1" t="s">
        <v>33</v>
      </c>
      <c r="O1" t="s">
        <v>34</v>
      </c>
      <c r="P1" t="s">
        <v>35</v>
      </c>
    </row>
    <row r="2" spans="1:16" x14ac:dyDescent="0.35">
      <c r="A2">
        <v>13</v>
      </c>
      <c r="B2" t="s">
        <v>28</v>
      </c>
      <c r="C2" t="s">
        <v>8</v>
      </c>
      <c r="D2" t="s">
        <v>9</v>
      </c>
      <c r="E2">
        <v>2049</v>
      </c>
      <c r="F2" t="s">
        <v>14</v>
      </c>
      <c r="G2">
        <v>72</v>
      </c>
      <c r="H2">
        <v>869.1</v>
      </c>
      <c r="I2">
        <v>150</v>
      </c>
      <c r="J2">
        <f t="shared" ref="J2:J27" si="0">H2*I2</f>
        <v>130365</v>
      </c>
    </row>
    <row r="3" spans="1:16" x14ac:dyDescent="0.35">
      <c r="A3">
        <v>108</v>
      </c>
      <c r="B3" t="s">
        <v>28</v>
      </c>
      <c r="C3" t="s">
        <v>20</v>
      </c>
      <c r="D3" t="s">
        <v>22</v>
      </c>
      <c r="E3">
        <v>3314</v>
      </c>
      <c r="F3" t="s">
        <v>14</v>
      </c>
      <c r="G3">
        <v>47</v>
      </c>
      <c r="H3">
        <v>1414.68</v>
      </c>
      <c r="I3">
        <v>127</v>
      </c>
      <c r="J3">
        <f t="shared" si="0"/>
        <v>179664.36000000002</v>
      </c>
      <c r="L3" t="s">
        <v>14</v>
      </c>
      <c r="M3">
        <f>SUM(I2:I10)</f>
        <v>877</v>
      </c>
      <c r="N3">
        <f>AVERAGE(I2:I10)</f>
        <v>97.444444444444443</v>
      </c>
      <c r="O3">
        <f>SUM(J2:J10)</f>
        <v>728537.77</v>
      </c>
      <c r="P3">
        <f>AVERAGE(J2:J10)</f>
        <v>80948.641111111108</v>
      </c>
    </row>
    <row r="4" spans="1:16" x14ac:dyDescent="0.35">
      <c r="A4">
        <v>121</v>
      </c>
      <c r="B4" t="s">
        <v>28</v>
      </c>
      <c r="C4" t="s">
        <v>20</v>
      </c>
      <c r="D4" t="s">
        <v>23</v>
      </c>
      <c r="E4">
        <v>2060</v>
      </c>
      <c r="F4" t="s">
        <v>14</v>
      </c>
      <c r="G4">
        <v>76</v>
      </c>
      <c r="H4">
        <v>293.77</v>
      </c>
      <c r="I4">
        <v>200</v>
      </c>
      <c r="J4">
        <f t="shared" si="0"/>
        <v>58754</v>
      </c>
    </row>
    <row r="5" spans="1:16" x14ac:dyDescent="0.35">
      <c r="A5">
        <v>129</v>
      </c>
      <c r="B5" t="s">
        <v>28</v>
      </c>
      <c r="C5" t="s">
        <v>17</v>
      </c>
      <c r="D5" t="s">
        <v>16</v>
      </c>
      <c r="E5">
        <v>7895</v>
      </c>
      <c r="F5" t="s">
        <v>14</v>
      </c>
      <c r="G5">
        <v>83</v>
      </c>
      <c r="H5">
        <v>547.91</v>
      </c>
      <c r="I5">
        <v>109</v>
      </c>
      <c r="J5">
        <f t="shared" si="0"/>
        <v>59722.189999999995</v>
      </c>
      <c r="L5" t="s">
        <v>36</v>
      </c>
      <c r="M5">
        <f>SUM(I11:I19)</f>
        <v>1165</v>
      </c>
      <c r="N5">
        <f>AVERAGE(I11:I19)</f>
        <v>129.44444444444446</v>
      </c>
      <c r="O5">
        <f>SUM(J11:J19)</f>
        <v>1616499.6800000002</v>
      </c>
      <c r="P5">
        <f>AVERAGE(J11:J19)</f>
        <v>179611.07555555558</v>
      </c>
    </row>
    <row r="6" spans="1:16" x14ac:dyDescent="0.35">
      <c r="A6">
        <v>131</v>
      </c>
      <c r="B6" t="s">
        <v>28</v>
      </c>
      <c r="C6" t="s">
        <v>16</v>
      </c>
      <c r="D6" t="s">
        <v>17</v>
      </c>
      <c r="E6">
        <v>9975</v>
      </c>
      <c r="F6" t="s">
        <v>14</v>
      </c>
      <c r="G6">
        <v>108</v>
      </c>
      <c r="H6">
        <v>248.52</v>
      </c>
      <c r="I6">
        <v>67</v>
      </c>
      <c r="J6">
        <f t="shared" si="0"/>
        <v>16650.84</v>
      </c>
    </row>
    <row r="7" spans="1:16" x14ac:dyDescent="0.35">
      <c r="A7">
        <v>186</v>
      </c>
      <c r="B7" t="s">
        <v>28</v>
      </c>
      <c r="C7" t="s">
        <v>13</v>
      </c>
      <c r="D7" t="s">
        <v>17</v>
      </c>
      <c r="E7">
        <v>2829</v>
      </c>
      <c r="F7" t="s">
        <v>14</v>
      </c>
      <c r="G7">
        <v>117</v>
      </c>
      <c r="H7">
        <v>1494.54</v>
      </c>
      <c r="I7">
        <v>73</v>
      </c>
      <c r="J7">
        <f t="shared" si="0"/>
        <v>109101.42</v>
      </c>
      <c r="L7" t="s">
        <v>37</v>
      </c>
      <c r="M7">
        <f>SUM(I20:I27)</f>
        <v>863</v>
      </c>
      <c r="N7">
        <f>AVERAGE(I20:I27)</f>
        <v>107.875</v>
      </c>
      <c r="O7">
        <f>SUM(J20:J27)</f>
        <v>2001939.7100000002</v>
      </c>
      <c r="P7">
        <f>AVERAGE(J20:J27)</f>
        <v>250242.46375000002</v>
      </c>
    </row>
    <row r="8" spans="1:16" x14ac:dyDescent="0.35">
      <c r="A8">
        <v>206</v>
      </c>
      <c r="B8" t="s">
        <v>28</v>
      </c>
      <c r="C8" t="s">
        <v>17</v>
      </c>
      <c r="D8" t="s">
        <v>8</v>
      </c>
      <c r="E8">
        <v>1531</v>
      </c>
      <c r="F8" t="s">
        <v>14</v>
      </c>
      <c r="G8">
        <v>102</v>
      </c>
      <c r="H8">
        <v>1615.37</v>
      </c>
      <c r="I8">
        <v>23</v>
      </c>
      <c r="J8">
        <f t="shared" si="0"/>
        <v>37153.509999999995</v>
      </c>
      <c r="L8" t="s">
        <v>49</v>
      </c>
      <c r="M8">
        <f>SUM(M3:M7)</f>
        <v>2905</v>
      </c>
      <c r="N8">
        <f>SUM(N3:N7)</f>
        <v>334.76388888888891</v>
      </c>
      <c r="O8">
        <f>SUM(O3:O7)</f>
        <v>4346977.16</v>
      </c>
      <c r="P8">
        <f>SUM(P3:P7)</f>
        <v>510802.18041666667</v>
      </c>
    </row>
    <row r="9" spans="1:16" x14ac:dyDescent="0.35">
      <c r="A9">
        <v>214</v>
      </c>
      <c r="B9" t="s">
        <v>28</v>
      </c>
      <c r="C9" t="s">
        <v>12</v>
      </c>
      <c r="D9" t="s">
        <v>24</v>
      </c>
      <c r="E9">
        <v>6704</v>
      </c>
      <c r="F9" t="s">
        <v>14</v>
      </c>
      <c r="G9">
        <v>64</v>
      </c>
      <c r="H9">
        <v>1066.93</v>
      </c>
      <c r="I9">
        <v>41</v>
      </c>
      <c r="J9">
        <f t="shared" si="0"/>
        <v>43744.130000000005</v>
      </c>
    </row>
    <row r="10" spans="1:16" x14ac:dyDescent="0.35">
      <c r="A10">
        <v>244</v>
      </c>
      <c r="B10" t="s">
        <v>28</v>
      </c>
      <c r="C10" t="s">
        <v>20</v>
      </c>
      <c r="D10" t="s">
        <v>17</v>
      </c>
      <c r="E10">
        <v>7406</v>
      </c>
      <c r="F10" t="s">
        <v>14</v>
      </c>
      <c r="G10">
        <v>34</v>
      </c>
      <c r="H10">
        <v>1073.3599999999999</v>
      </c>
      <c r="I10">
        <v>87</v>
      </c>
      <c r="J10">
        <f t="shared" si="0"/>
        <v>93382.319999999992</v>
      </c>
    </row>
    <row r="11" spans="1:16" x14ac:dyDescent="0.35">
      <c r="A11">
        <v>36</v>
      </c>
      <c r="B11" t="s">
        <v>28</v>
      </c>
      <c r="C11" t="s">
        <v>22</v>
      </c>
      <c r="D11" t="s">
        <v>12</v>
      </c>
      <c r="E11">
        <v>2695</v>
      </c>
      <c r="F11" t="s">
        <v>10</v>
      </c>
      <c r="G11">
        <v>55</v>
      </c>
      <c r="H11">
        <v>1495.68</v>
      </c>
      <c r="I11">
        <v>121</v>
      </c>
      <c r="J11">
        <f t="shared" si="0"/>
        <v>180977.28</v>
      </c>
      <c r="L11" t="s">
        <v>38</v>
      </c>
    </row>
    <row r="12" spans="1:16" x14ac:dyDescent="0.35">
      <c r="A12">
        <v>76</v>
      </c>
      <c r="B12" t="s">
        <v>28</v>
      </c>
      <c r="C12" t="s">
        <v>22</v>
      </c>
      <c r="D12" t="s">
        <v>20</v>
      </c>
      <c r="E12">
        <v>1621</v>
      </c>
      <c r="F12" t="s">
        <v>10</v>
      </c>
      <c r="G12">
        <v>60</v>
      </c>
      <c r="H12">
        <v>1374.01</v>
      </c>
      <c r="I12">
        <v>182</v>
      </c>
      <c r="J12">
        <f t="shared" si="0"/>
        <v>250069.82</v>
      </c>
    </row>
    <row r="13" spans="1:16" x14ac:dyDescent="0.35">
      <c r="A13">
        <v>96</v>
      </c>
      <c r="B13" t="s">
        <v>28</v>
      </c>
      <c r="C13" t="s">
        <v>9</v>
      </c>
      <c r="D13" t="s">
        <v>24</v>
      </c>
      <c r="E13">
        <v>2607</v>
      </c>
      <c r="F13" t="s">
        <v>10</v>
      </c>
      <c r="G13">
        <v>73</v>
      </c>
      <c r="H13">
        <v>1537.27</v>
      </c>
      <c r="I13">
        <v>176</v>
      </c>
      <c r="J13">
        <f t="shared" si="0"/>
        <v>270559.52</v>
      </c>
      <c r="L13" t="s">
        <v>45</v>
      </c>
    </row>
    <row r="14" spans="1:16" x14ac:dyDescent="0.35">
      <c r="A14">
        <v>107</v>
      </c>
      <c r="B14" t="s">
        <v>28</v>
      </c>
      <c r="C14" t="s">
        <v>13</v>
      </c>
      <c r="D14" t="s">
        <v>12</v>
      </c>
      <c r="E14">
        <v>7532</v>
      </c>
      <c r="F14" t="s">
        <v>10</v>
      </c>
      <c r="G14">
        <v>68</v>
      </c>
      <c r="H14">
        <v>278.66000000000003</v>
      </c>
      <c r="I14">
        <v>125</v>
      </c>
      <c r="J14">
        <f t="shared" si="0"/>
        <v>34832.5</v>
      </c>
      <c r="L14" t="s">
        <v>41</v>
      </c>
      <c r="N14" t="s">
        <v>40</v>
      </c>
    </row>
    <row r="15" spans="1:16" x14ac:dyDescent="0.35">
      <c r="A15">
        <v>139</v>
      </c>
      <c r="B15" t="s">
        <v>28</v>
      </c>
      <c r="C15" t="s">
        <v>23</v>
      </c>
      <c r="D15" t="s">
        <v>9</v>
      </c>
      <c r="E15">
        <v>7324</v>
      </c>
      <c r="F15" t="s">
        <v>10</v>
      </c>
      <c r="G15">
        <v>71</v>
      </c>
      <c r="H15">
        <v>1268.99</v>
      </c>
      <c r="I15">
        <v>182</v>
      </c>
      <c r="J15">
        <f t="shared" si="0"/>
        <v>230956.18</v>
      </c>
      <c r="L15" t="s">
        <v>49</v>
      </c>
      <c r="M15">
        <f>M5-M3</f>
        <v>288</v>
      </c>
      <c r="N15" t="s">
        <v>50</v>
      </c>
      <c r="O15">
        <f>O5-O3</f>
        <v>887961.91000000015</v>
      </c>
    </row>
    <row r="16" spans="1:16" x14ac:dyDescent="0.35">
      <c r="A16">
        <v>181</v>
      </c>
      <c r="B16" t="s">
        <v>28</v>
      </c>
      <c r="C16" t="s">
        <v>20</v>
      </c>
      <c r="D16" t="s">
        <v>24</v>
      </c>
      <c r="E16">
        <v>8149</v>
      </c>
      <c r="F16" t="s">
        <v>10</v>
      </c>
      <c r="G16">
        <v>105</v>
      </c>
      <c r="H16">
        <v>1226.6300000000001</v>
      </c>
      <c r="I16">
        <v>148</v>
      </c>
      <c r="J16">
        <f t="shared" si="0"/>
        <v>181541.24000000002</v>
      </c>
      <c r="L16" t="s">
        <v>52</v>
      </c>
      <c r="M16">
        <f>N5-N3</f>
        <v>32.000000000000014</v>
      </c>
      <c r="N16" t="s">
        <v>51</v>
      </c>
      <c r="O16">
        <f>P5-P3</f>
        <v>98662.434444444472</v>
      </c>
    </row>
    <row r="17" spans="1:15" x14ac:dyDescent="0.35">
      <c r="A17">
        <v>198</v>
      </c>
      <c r="B17" t="s">
        <v>28</v>
      </c>
      <c r="C17" t="s">
        <v>20</v>
      </c>
      <c r="D17" t="s">
        <v>17</v>
      </c>
      <c r="E17">
        <v>8465</v>
      </c>
      <c r="F17" t="s">
        <v>10</v>
      </c>
      <c r="G17">
        <v>13</v>
      </c>
      <c r="H17">
        <v>1616.61</v>
      </c>
      <c r="I17">
        <v>34</v>
      </c>
      <c r="J17">
        <f t="shared" si="0"/>
        <v>54964.74</v>
      </c>
    </row>
    <row r="18" spans="1:15" x14ac:dyDescent="0.35">
      <c r="A18">
        <v>201</v>
      </c>
      <c r="B18" t="s">
        <v>28</v>
      </c>
      <c r="C18" t="s">
        <v>17</v>
      </c>
      <c r="D18" t="s">
        <v>23</v>
      </c>
      <c r="E18">
        <v>11551</v>
      </c>
      <c r="F18" t="s">
        <v>10</v>
      </c>
      <c r="G18">
        <v>109</v>
      </c>
      <c r="H18">
        <v>2040.9</v>
      </c>
      <c r="I18">
        <v>167</v>
      </c>
      <c r="J18">
        <f t="shared" si="0"/>
        <v>340830.3</v>
      </c>
      <c r="L18" t="s">
        <v>43</v>
      </c>
    </row>
    <row r="19" spans="1:15" x14ac:dyDescent="0.35">
      <c r="A19">
        <v>228</v>
      </c>
      <c r="B19" t="s">
        <v>28</v>
      </c>
      <c r="C19" t="s">
        <v>13</v>
      </c>
      <c r="D19" t="s">
        <v>17</v>
      </c>
      <c r="E19">
        <v>9316</v>
      </c>
      <c r="F19" t="s">
        <v>10</v>
      </c>
      <c r="G19">
        <v>60</v>
      </c>
      <c r="H19">
        <v>2392.27</v>
      </c>
      <c r="I19">
        <v>30</v>
      </c>
      <c r="J19">
        <f t="shared" si="0"/>
        <v>71768.100000000006</v>
      </c>
      <c r="L19" t="s">
        <v>41</v>
      </c>
      <c r="N19" t="s">
        <v>40</v>
      </c>
    </row>
    <row r="20" spans="1:15" x14ac:dyDescent="0.35">
      <c r="A20">
        <v>10</v>
      </c>
      <c r="B20" t="s">
        <v>28</v>
      </c>
      <c r="C20" t="s">
        <v>23</v>
      </c>
      <c r="D20" t="s">
        <v>13</v>
      </c>
      <c r="E20">
        <v>3760</v>
      </c>
      <c r="F20" t="s">
        <v>18</v>
      </c>
      <c r="G20">
        <v>36</v>
      </c>
      <c r="H20">
        <v>916.82</v>
      </c>
      <c r="I20">
        <v>184</v>
      </c>
      <c r="J20">
        <f t="shared" si="0"/>
        <v>168694.88</v>
      </c>
      <c r="L20" t="s">
        <v>50</v>
      </c>
      <c r="M20">
        <f>M3-M7</f>
        <v>14</v>
      </c>
      <c r="N20" t="s">
        <v>50</v>
      </c>
      <c r="O20">
        <f>O7-O3</f>
        <v>1273401.9400000002</v>
      </c>
    </row>
    <row r="21" spans="1:15" x14ac:dyDescent="0.35">
      <c r="A21">
        <v>43</v>
      </c>
      <c r="B21" t="s">
        <v>28</v>
      </c>
      <c r="C21" t="s">
        <v>8</v>
      </c>
      <c r="D21" t="s">
        <v>12</v>
      </c>
      <c r="E21">
        <v>10486</v>
      </c>
      <c r="F21" t="s">
        <v>18</v>
      </c>
      <c r="G21">
        <v>95</v>
      </c>
      <c r="H21">
        <v>1775.34</v>
      </c>
      <c r="I21">
        <v>23</v>
      </c>
      <c r="J21">
        <f t="shared" si="0"/>
        <v>40832.82</v>
      </c>
      <c r="L21" t="s">
        <v>52</v>
      </c>
      <c r="M21">
        <f>N7-N3</f>
        <v>10.430555555555557</v>
      </c>
      <c r="N21" t="s">
        <v>51</v>
      </c>
      <c r="O21">
        <f>P7-P3</f>
        <v>169293.8226388889</v>
      </c>
    </row>
    <row r="22" spans="1:15" x14ac:dyDescent="0.35">
      <c r="A22">
        <v>62</v>
      </c>
      <c r="B22" t="s">
        <v>28</v>
      </c>
      <c r="C22" t="s">
        <v>20</v>
      </c>
      <c r="D22" t="s">
        <v>16</v>
      </c>
      <c r="E22">
        <v>4101</v>
      </c>
      <c r="F22" t="s">
        <v>18</v>
      </c>
      <c r="G22">
        <v>18</v>
      </c>
      <c r="H22">
        <v>1825.15</v>
      </c>
      <c r="I22">
        <v>89</v>
      </c>
      <c r="J22">
        <f t="shared" si="0"/>
        <v>162438.35</v>
      </c>
    </row>
    <row r="23" spans="1:15" x14ac:dyDescent="0.35">
      <c r="A23">
        <v>73</v>
      </c>
      <c r="B23" t="s">
        <v>28</v>
      </c>
      <c r="C23" t="s">
        <v>13</v>
      </c>
      <c r="D23" t="s">
        <v>20</v>
      </c>
      <c r="E23">
        <v>3101</v>
      </c>
      <c r="F23" t="s">
        <v>18</v>
      </c>
      <c r="G23">
        <v>64</v>
      </c>
      <c r="H23">
        <v>2247.61</v>
      </c>
      <c r="I23">
        <v>195</v>
      </c>
      <c r="J23">
        <f t="shared" si="0"/>
        <v>438283.95</v>
      </c>
      <c r="L23" t="s">
        <v>47</v>
      </c>
    </row>
    <row r="24" spans="1:15" x14ac:dyDescent="0.35">
      <c r="A24">
        <v>178</v>
      </c>
      <c r="B24" t="s">
        <v>28</v>
      </c>
      <c r="C24" t="s">
        <v>22</v>
      </c>
      <c r="D24" t="s">
        <v>8</v>
      </c>
      <c r="E24">
        <v>6188</v>
      </c>
      <c r="F24" t="s">
        <v>18</v>
      </c>
      <c r="G24">
        <v>78</v>
      </c>
      <c r="H24">
        <v>361.61</v>
      </c>
      <c r="I24">
        <v>121</v>
      </c>
      <c r="J24">
        <f t="shared" si="0"/>
        <v>43754.810000000005</v>
      </c>
      <c r="L24" t="s">
        <v>41</v>
      </c>
      <c r="N24" t="s">
        <v>40</v>
      </c>
    </row>
    <row r="25" spans="1:15" x14ac:dyDescent="0.35">
      <c r="A25">
        <v>180</v>
      </c>
      <c r="B25" t="s">
        <v>28</v>
      </c>
      <c r="C25" t="s">
        <v>12</v>
      </c>
      <c r="D25" t="s">
        <v>13</v>
      </c>
      <c r="E25">
        <v>695</v>
      </c>
      <c r="F25" t="s">
        <v>18</v>
      </c>
      <c r="G25">
        <v>75</v>
      </c>
      <c r="H25">
        <v>2472.36</v>
      </c>
      <c r="I25">
        <v>29</v>
      </c>
      <c r="J25">
        <f t="shared" si="0"/>
        <v>71698.44</v>
      </c>
      <c r="L25" t="s">
        <v>50</v>
      </c>
      <c r="M25">
        <f>M5-M7</f>
        <v>302</v>
      </c>
      <c r="N25" t="s">
        <v>50</v>
      </c>
      <c r="O25">
        <f>O7-O5</f>
        <v>385440.03</v>
      </c>
    </row>
    <row r="26" spans="1:15" x14ac:dyDescent="0.35">
      <c r="A26">
        <v>212</v>
      </c>
      <c r="B26" t="s">
        <v>28</v>
      </c>
      <c r="C26" t="s">
        <v>17</v>
      </c>
      <c r="D26" t="s">
        <v>8</v>
      </c>
      <c r="E26">
        <v>3843</v>
      </c>
      <c r="F26" t="s">
        <v>18</v>
      </c>
      <c r="G26">
        <v>81</v>
      </c>
      <c r="H26">
        <v>4174.01</v>
      </c>
      <c r="I26">
        <v>166</v>
      </c>
      <c r="J26">
        <f t="shared" si="0"/>
        <v>692885.66</v>
      </c>
      <c r="L26" t="s">
        <v>52</v>
      </c>
      <c r="M26">
        <f>N5-N7</f>
        <v>21.569444444444457</v>
      </c>
      <c r="N26" t="s">
        <v>52</v>
      </c>
      <c r="O26">
        <f>P7-P5</f>
        <v>70631.388194444444</v>
      </c>
    </row>
    <row r="27" spans="1:15" x14ac:dyDescent="0.35">
      <c r="A27">
        <v>239</v>
      </c>
      <c r="B27" t="s">
        <v>28</v>
      </c>
      <c r="C27" t="s">
        <v>8</v>
      </c>
      <c r="D27" t="s">
        <v>17</v>
      </c>
      <c r="E27">
        <v>10724</v>
      </c>
      <c r="F27" t="s">
        <v>18</v>
      </c>
      <c r="G27">
        <v>31</v>
      </c>
      <c r="H27">
        <v>6845.55</v>
      </c>
      <c r="I27">
        <v>56</v>
      </c>
      <c r="J27">
        <f t="shared" si="0"/>
        <v>383350.8</v>
      </c>
    </row>
  </sheetData>
  <pageMargins left="0.7" right="0.7" top="0.75" bottom="0.75" header="0.3" footer="0.3"/>
  <ignoredErrors>
    <ignoredError sqref="M3:N3 M5:N5 M7:N7"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72F7C-A146-44C9-961C-C19B7E9EAED9}">
  <dimension ref="A1:P31"/>
  <sheetViews>
    <sheetView workbookViewId="0">
      <selection activeCell="P12" sqref="P12"/>
    </sheetView>
  </sheetViews>
  <sheetFormatPr defaultRowHeight="14.5" x14ac:dyDescent="0.35"/>
  <cols>
    <col min="2" max="2" width="11.81640625" customWidth="1"/>
    <col min="10" max="10" width="17.453125" customWidth="1"/>
    <col min="13" max="13" width="9.453125" customWidth="1"/>
    <col min="14" max="14" width="12.1796875" customWidth="1"/>
    <col min="15" max="15" width="12.453125" customWidth="1"/>
    <col min="16" max="16" width="15.08984375" customWidth="1"/>
  </cols>
  <sheetData>
    <row r="1" spans="1:16" x14ac:dyDescent="0.35">
      <c r="A1" t="s">
        <v>0</v>
      </c>
      <c r="B1" t="s">
        <v>1</v>
      </c>
      <c r="C1" t="s">
        <v>2</v>
      </c>
      <c r="D1" t="s">
        <v>3</v>
      </c>
      <c r="E1" t="s">
        <v>4</v>
      </c>
      <c r="F1" t="s">
        <v>5</v>
      </c>
      <c r="G1" t="s">
        <v>6</v>
      </c>
      <c r="H1" t="s">
        <v>7</v>
      </c>
      <c r="I1" t="s">
        <v>26</v>
      </c>
      <c r="J1" t="s">
        <v>27</v>
      </c>
      <c r="L1" t="s">
        <v>5</v>
      </c>
      <c r="M1" t="s">
        <v>32</v>
      </c>
      <c r="N1" t="s">
        <v>33</v>
      </c>
      <c r="O1" t="s">
        <v>34</v>
      </c>
      <c r="P1" t="s">
        <v>35</v>
      </c>
    </row>
    <row r="2" spans="1:16" x14ac:dyDescent="0.35">
      <c r="A2">
        <v>17</v>
      </c>
      <c r="B2" t="s">
        <v>30</v>
      </c>
      <c r="C2" t="s">
        <v>23</v>
      </c>
      <c r="D2" t="s">
        <v>8</v>
      </c>
      <c r="E2">
        <v>5573</v>
      </c>
      <c r="F2" t="s">
        <v>14</v>
      </c>
      <c r="G2">
        <v>82</v>
      </c>
      <c r="H2">
        <v>1298.3699999999999</v>
      </c>
      <c r="I2">
        <v>103</v>
      </c>
      <c r="J2">
        <f t="shared" ref="J2:J31" si="0">H2*I2</f>
        <v>133732.10999999999</v>
      </c>
    </row>
    <row r="3" spans="1:16" x14ac:dyDescent="0.35">
      <c r="A3">
        <v>54</v>
      </c>
      <c r="B3" t="s">
        <v>30</v>
      </c>
      <c r="C3" t="s">
        <v>9</v>
      </c>
      <c r="D3" t="s">
        <v>24</v>
      </c>
      <c r="E3">
        <v>11328</v>
      </c>
      <c r="F3" t="s">
        <v>14</v>
      </c>
      <c r="G3">
        <v>80</v>
      </c>
      <c r="H3">
        <v>6071.56</v>
      </c>
      <c r="I3">
        <v>11</v>
      </c>
      <c r="J3">
        <f t="shared" si="0"/>
        <v>66787.16</v>
      </c>
      <c r="L3" t="s">
        <v>53</v>
      </c>
      <c r="M3">
        <f>SUM(I2:I10)</f>
        <v>1014</v>
      </c>
      <c r="N3">
        <f>AVERAGE(I2:I10)</f>
        <v>112.66666666666667</v>
      </c>
      <c r="O3">
        <f>SUM(J2:J10)</f>
        <v>2107613.4400000004</v>
      </c>
      <c r="P3">
        <f>AVERAGE(J2:J10)</f>
        <v>234179.27111111116</v>
      </c>
    </row>
    <row r="4" spans="1:16" x14ac:dyDescent="0.35">
      <c r="A4">
        <v>85</v>
      </c>
      <c r="B4" t="s">
        <v>30</v>
      </c>
      <c r="C4" t="s">
        <v>9</v>
      </c>
      <c r="D4" t="s">
        <v>24</v>
      </c>
      <c r="E4">
        <v>10287</v>
      </c>
      <c r="F4" t="s">
        <v>14</v>
      </c>
      <c r="G4">
        <v>112</v>
      </c>
      <c r="H4">
        <v>2854.75</v>
      </c>
      <c r="I4">
        <v>94</v>
      </c>
      <c r="J4">
        <f t="shared" si="0"/>
        <v>268346.5</v>
      </c>
    </row>
    <row r="5" spans="1:16" x14ac:dyDescent="0.35">
      <c r="A5">
        <v>104</v>
      </c>
      <c r="B5" t="s">
        <v>30</v>
      </c>
      <c r="C5" t="s">
        <v>8</v>
      </c>
      <c r="D5" t="s">
        <v>9</v>
      </c>
      <c r="E5">
        <v>3857</v>
      </c>
      <c r="F5" t="s">
        <v>14</v>
      </c>
      <c r="G5">
        <v>60</v>
      </c>
      <c r="H5">
        <v>281.79000000000002</v>
      </c>
      <c r="I5">
        <v>155</v>
      </c>
      <c r="J5">
        <f t="shared" si="0"/>
        <v>43677.450000000004</v>
      </c>
      <c r="L5" t="s">
        <v>36</v>
      </c>
      <c r="M5">
        <f>SUM(I11:I19)</f>
        <v>1073</v>
      </c>
      <c r="N5">
        <f>AVERAGE(I11:I19)</f>
        <v>119.22222222222223</v>
      </c>
      <c r="O5">
        <f>SUM(J11:J19)</f>
        <v>2687579.6500000004</v>
      </c>
      <c r="P5">
        <f>AVERAGE(J11:J19)</f>
        <v>298619.96111111116</v>
      </c>
    </row>
    <row r="6" spans="1:16" x14ac:dyDescent="0.35">
      <c r="A6">
        <v>144</v>
      </c>
      <c r="B6" t="s">
        <v>30</v>
      </c>
      <c r="C6" t="s">
        <v>22</v>
      </c>
      <c r="D6" t="s">
        <v>13</v>
      </c>
      <c r="E6">
        <v>11773</v>
      </c>
      <c r="F6" t="s">
        <v>14</v>
      </c>
      <c r="G6">
        <v>56</v>
      </c>
      <c r="H6">
        <v>1594.79</v>
      </c>
      <c r="I6">
        <v>179</v>
      </c>
      <c r="J6">
        <f t="shared" si="0"/>
        <v>285467.40999999997</v>
      </c>
    </row>
    <row r="7" spans="1:16" x14ac:dyDescent="0.35">
      <c r="A7">
        <v>224</v>
      </c>
      <c r="B7" t="s">
        <v>30</v>
      </c>
      <c r="C7" t="s">
        <v>22</v>
      </c>
      <c r="D7" t="s">
        <v>16</v>
      </c>
      <c r="E7">
        <v>6204</v>
      </c>
      <c r="F7" t="s">
        <v>14</v>
      </c>
      <c r="G7">
        <v>91</v>
      </c>
      <c r="H7">
        <v>2915.5</v>
      </c>
      <c r="I7">
        <v>18</v>
      </c>
      <c r="J7">
        <f t="shared" si="0"/>
        <v>52479</v>
      </c>
      <c r="L7" t="s">
        <v>37</v>
      </c>
      <c r="M7">
        <f>SUM(I20:I31)</f>
        <v>1244</v>
      </c>
      <c r="N7">
        <f>AVERAGE(I20:I31)</f>
        <v>103.66666666666667</v>
      </c>
      <c r="O7">
        <f>SUM(J20:J31)</f>
        <v>2692922.5899999994</v>
      </c>
      <c r="P7">
        <f>AVERAGE(J20:J31)</f>
        <v>224410.21583333329</v>
      </c>
    </row>
    <row r="8" spans="1:16" x14ac:dyDescent="0.35">
      <c r="A8">
        <v>229</v>
      </c>
      <c r="B8" t="s">
        <v>30</v>
      </c>
      <c r="C8" t="s">
        <v>20</v>
      </c>
      <c r="D8" t="s">
        <v>9</v>
      </c>
      <c r="E8">
        <v>9280</v>
      </c>
      <c r="F8" t="s">
        <v>14</v>
      </c>
      <c r="G8">
        <v>61</v>
      </c>
      <c r="H8">
        <v>1513.01</v>
      </c>
      <c r="I8">
        <v>125</v>
      </c>
      <c r="J8">
        <f t="shared" si="0"/>
        <v>189126.25</v>
      </c>
      <c r="L8" t="s">
        <v>49</v>
      </c>
      <c r="M8">
        <f>SUM(M3:M7)</f>
        <v>3331</v>
      </c>
      <c r="N8">
        <f>SUM(N3:N7)</f>
        <v>335.5555555555556</v>
      </c>
      <c r="O8">
        <f>SUM(O3:O7)</f>
        <v>7488115.6799999997</v>
      </c>
      <c r="P8">
        <f>SUM(P3:P7)</f>
        <v>757209.44805555558</v>
      </c>
    </row>
    <row r="9" spans="1:16" x14ac:dyDescent="0.35">
      <c r="A9">
        <v>232</v>
      </c>
      <c r="B9" t="s">
        <v>30</v>
      </c>
      <c r="C9" t="s">
        <v>22</v>
      </c>
      <c r="D9" t="s">
        <v>24</v>
      </c>
      <c r="E9">
        <v>4307</v>
      </c>
      <c r="F9" t="s">
        <v>14</v>
      </c>
      <c r="G9">
        <v>114</v>
      </c>
      <c r="H9">
        <v>4298.76</v>
      </c>
      <c r="I9">
        <v>132</v>
      </c>
      <c r="J9">
        <f t="shared" si="0"/>
        <v>567436.32000000007</v>
      </c>
    </row>
    <row r="10" spans="1:16" x14ac:dyDescent="0.35">
      <c r="A10">
        <v>240</v>
      </c>
      <c r="B10" t="s">
        <v>30</v>
      </c>
      <c r="C10" t="s">
        <v>8</v>
      </c>
      <c r="D10" t="s">
        <v>12</v>
      </c>
      <c r="E10">
        <v>6955</v>
      </c>
      <c r="F10" t="s">
        <v>14</v>
      </c>
      <c r="G10">
        <v>7</v>
      </c>
      <c r="H10">
        <v>2540.92</v>
      </c>
      <c r="I10">
        <v>197</v>
      </c>
      <c r="J10">
        <f t="shared" si="0"/>
        <v>500561.24</v>
      </c>
    </row>
    <row r="11" spans="1:16" x14ac:dyDescent="0.35">
      <c r="A11">
        <v>53</v>
      </c>
      <c r="B11" t="s">
        <v>30</v>
      </c>
      <c r="C11" t="s">
        <v>13</v>
      </c>
      <c r="D11" t="s">
        <v>12</v>
      </c>
      <c r="E11">
        <v>5677</v>
      </c>
      <c r="F11" t="s">
        <v>10</v>
      </c>
      <c r="G11">
        <v>76</v>
      </c>
      <c r="H11">
        <v>1501.05</v>
      </c>
      <c r="I11">
        <v>109</v>
      </c>
      <c r="J11">
        <f t="shared" si="0"/>
        <v>163614.44999999998</v>
      </c>
      <c r="L11" t="s">
        <v>38</v>
      </c>
    </row>
    <row r="12" spans="1:16" x14ac:dyDescent="0.35">
      <c r="A12">
        <v>56</v>
      </c>
      <c r="B12" t="s">
        <v>30</v>
      </c>
      <c r="C12" t="s">
        <v>9</v>
      </c>
      <c r="D12" t="s">
        <v>23</v>
      </c>
      <c r="E12">
        <v>9950</v>
      </c>
      <c r="F12" t="s">
        <v>10</v>
      </c>
      <c r="G12">
        <v>66</v>
      </c>
      <c r="H12">
        <v>1005.86</v>
      </c>
      <c r="I12">
        <v>122</v>
      </c>
      <c r="J12">
        <f t="shared" si="0"/>
        <v>122714.92</v>
      </c>
    </row>
    <row r="13" spans="1:16" x14ac:dyDescent="0.35">
      <c r="A13">
        <v>66</v>
      </c>
      <c r="B13" t="s">
        <v>30</v>
      </c>
      <c r="C13" t="s">
        <v>16</v>
      </c>
      <c r="D13" t="s">
        <v>17</v>
      </c>
      <c r="E13">
        <v>718</v>
      </c>
      <c r="F13" t="s">
        <v>10</v>
      </c>
      <c r="G13">
        <v>72</v>
      </c>
      <c r="H13">
        <v>968.12</v>
      </c>
      <c r="I13">
        <v>59</v>
      </c>
      <c r="J13">
        <f t="shared" si="0"/>
        <v>57119.08</v>
      </c>
      <c r="L13" t="s">
        <v>39</v>
      </c>
    </row>
    <row r="14" spans="1:16" x14ac:dyDescent="0.35">
      <c r="A14">
        <v>119</v>
      </c>
      <c r="B14" t="s">
        <v>30</v>
      </c>
      <c r="C14" t="s">
        <v>13</v>
      </c>
      <c r="D14" t="s">
        <v>24</v>
      </c>
      <c r="E14">
        <v>2974</v>
      </c>
      <c r="F14" t="s">
        <v>10</v>
      </c>
      <c r="G14">
        <v>117</v>
      </c>
      <c r="H14">
        <v>1091.1199999999999</v>
      </c>
      <c r="I14">
        <v>117</v>
      </c>
      <c r="J14">
        <f t="shared" si="0"/>
        <v>127661.04</v>
      </c>
      <c r="L14" t="s">
        <v>41</v>
      </c>
      <c r="N14" t="s">
        <v>42</v>
      </c>
    </row>
    <row r="15" spans="1:16" x14ac:dyDescent="0.35">
      <c r="A15">
        <v>123</v>
      </c>
      <c r="B15" t="s">
        <v>30</v>
      </c>
      <c r="C15" t="s">
        <v>17</v>
      </c>
      <c r="D15" t="s">
        <v>9</v>
      </c>
      <c r="E15">
        <v>7345</v>
      </c>
      <c r="F15" t="s">
        <v>10</v>
      </c>
      <c r="G15">
        <v>86</v>
      </c>
      <c r="H15">
        <v>1610.66</v>
      </c>
      <c r="I15">
        <v>176</v>
      </c>
      <c r="J15">
        <f t="shared" si="0"/>
        <v>283476.16000000003</v>
      </c>
      <c r="L15" t="s">
        <v>50</v>
      </c>
      <c r="M15">
        <f>M5-M3</f>
        <v>59</v>
      </c>
      <c r="N15" t="s">
        <v>50</v>
      </c>
      <c r="O15">
        <f>O5-O3</f>
        <v>579966.21</v>
      </c>
    </row>
    <row r="16" spans="1:16" x14ac:dyDescent="0.35">
      <c r="A16">
        <v>148</v>
      </c>
      <c r="B16" t="s">
        <v>30</v>
      </c>
      <c r="C16" t="s">
        <v>16</v>
      </c>
      <c r="D16" t="s">
        <v>17</v>
      </c>
      <c r="E16">
        <v>7661</v>
      </c>
      <c r="F16" t="s">
        <v>10</v>
      </c>
      <c r="G16">
        <v>71</v>
      </c>
      <c r="H16">
        <v>2398.7800000000002</v>
      </c>
      <c r="I16">
        <v>121</v>
      </c>
      <c r="J16">
        <f t="shared" si="0"/>
        <v>290252.38</v>
      </c>
      <c r="L16" t="s">
        <v>51</v>
      </c>
      <c r="M16">
        <f>N5-N3</f>
        <v>6.5555555555555571</v>
      </c>
      <c r="N16" t="s">
        <v>51</v>
      </c>
      <c r="O16">
        <f>P5-P3</f>
        <v>64440.69</v>
      </c>
    </row>
    <row r="17" spans="1:15" x14ac:dyDescent="0.35">
      <c r="A17">
        <v>183</v>
      </c>
      <c r="B17" t="s">
        <v>30</v>
      </c>
      <c r="C17" t="s">
        <v>12</v>
      </c>
      <c r="D17" t="s">
        <v>8</v>
      </c>
      <c r="E17">
        <v>11903</v>
      </c>
      <c r="F17" t="s">
        <v>10</v>
      </c>
      <c r="G17">
        <v>41</v>
      </c>
      <c r="H17">
        <v>6895.45</v>
      </c>
      <c r="I17">
        <v>152</v>
      </c>
      <c r="J17">
        <f t="shared" si="0"/>
        <v>1048108.4</v>
      </c>
    </row>
    <row r="18" spans="1:15" x14ac:dyDescent="0.35">
      <c r="A18">
        <v>218</v>
      </c>
      <c r="B18" t="s">
        <v>30</v>
      </c>
      <c r="C18" t="s">
        <v>17</v>
      </c>
      <c r="D18" t="s">
        <v>24</v>
      </c>
      <c r="E18">
        <v>10682</v>
      </c>
      <c r="F18" t="s">
        <v>10</v>
      </c>
      <c r="G18">
        <v>5</v>
      </c>
      <c r="H18">
        <v>1686.46</v>
      </c>
      <c r="I18">
        <v>44</v>
      </c>
      <c r="J18">
        <f t="shared" si="0"/>
        <v>74204.240000000005</v>
      </c>
      <c r="L18" t="s">
        <v>43</v>
      </c>
    </row>
    <row r="19" spans="1:15" x14ac:dyDescent="0.35">
      <c r="A19">
        <v>236</v>
      </c>
      <c r="B19" t="s">
        <v>30</v>
      </c>
      <c r="C19" t="s">
        <v>8</v>
      </c>
      <c r="D19" t="s">
        <v>12</v>
      </c>
      <c r="E19">
        <v>9840</v>
      </c>
      <c r="F19" t="s">
        <v>10</v>
      </c>
      <c r="G19">
        <v>4</v>
      </c>
      <c r="H19">
        <v>3008.26</v>
      </c>
      <c r="I19">
        <v>173</v>
      </c>
      <c r="J19">
        <f t="shared" si="0"/>
        <v>520428.98000000004</v>
      </c>
      <c r="L19" t="s">
        <v>41</v>
      </c>
      <c r="N19" t="s">
        <v>40</v>
      </c>
    </row>
    <row r="20" spans="1:15" x14ac:dyDescent="0.35">
      <c r="A20">
        <v>6</v>
      </c>
      <c r="B20" t="s">
        <v>30</v>
      </c>
      <c r="C20" t="s">
        <v>8</v>
      </c>
      <c r="D20" t="s">
        <v>12</v>
      </c>
      <c r="E20">
        <v>9382</v>
      </c>
      <c r="F20" t="s">
        <v>18</v>
      </c>
      <c r="G20">
        <v>19</v>
      </c>
      <c r="H20">
        <v>372.85</v>
      </c>
      <c r="I20">
        <v>96</v>
      </c>
      <c r="J20">
        <f t="shared" si="0"/>
        <v>35793.600000000006</v>
      </c>
      <c r="L20" t="s">
        <v>50</v>
      </c>
      <c r="M20">
        <f>M7-M3</f>
        <v>230</v>
      </c>
      <c r="N20" t="s">
        <v>50</v>
      </c>
      <c r="O20">
        <f>O7-O3</f>
        <v>585309.14999999898</v>
      </c>
    </row>
    <row r="21" spans="1:15" x14ac:dyDescent="0.35">
      <c r="A21">
        <v>8</v>
      </c>
      <c r="B21" t="s">
        <v>30</v>
      </c>
      <c r="C21" t="s">
        <v>12</v>
      </c>
      <c r="D21" t="s">
        <v>22</v>
      </c>
      <c r="E21">
        <v>6122</v>
      </c>
      <c r="F21" t="s">
        <v>18</v>
      </c>
      <c r="G21">
        <v>88</v>
      </c>
      <c r="H21">
        <v>1120.52</v>
      </c>
      <c r="I21">
        <v>16</v>
      </c>
      <c r="J21">
        <f t="shared" si="0"/>
        <v>17928.32</v>
      </c>
      <c r="L21" t="s">
        <v>51</v>
      </c>
      <c r="M21">
        <f>N3-N7</f>
        <v>9</v>
      </c>
      <c r="N21" t="s">
        <v>51</v>
      </c>
      <c r="O21">
        <f>P3-P7</f>
        <v>9769.0552777778648</v>
      </c>
    </row>
    <row r="22" spans="1:15" x14ac:dyDescent="0.35">
      <c r="A22">
        <v>69</v>
      </c>
      <c r="B22" t="s">
        <v>30</v>
      </c>
      <c r="C22" t="s">
        <v>16</v>
      </c>
      <c r="D22" t="s">
        <v>20</v>
      </c>
      <c r="E22">
        <v>931</v>
      </c>
      <c r="F22" t="s">
        <v>18</v>
      </c>
      <c r="G22">
        <v>6</v>
      </c>
      <c r="H22">
        <v>1315.64</v>
      </c>
      <c r="I22">
        <v>152</v>
      </c>
      <c r="J22">
        <f t="shared" si="0"/>
        <v>199977.28000000003</v>
      </c>
    </row>
    <row r="23" spans="1:15" x14ac:dyDescent="0.35">
      <c r="A23">
        <v>115</v>
      </c>
      <c r="B23" t="s">
        <v>30</v>
      </c>
      <c r="C23" t="s">
        <v>22</v>
      </c>
      <c r="D23" t="s">
        <v>24</v>
      </c>
      <c r="E23">
        <v>10409</v>
      </c>
      <c r="F23" t="s">
        <v>18</v>
      </c>
      <c r="G23">
        <v>75</v>
      </c>
      <c r="H23">
        <v>8852.69</v>
      </c>
      <c r="I23">
        <v>121</v>
      </c>
      <c r="J23">
        <f t="shared" si="0"/>
        <v>1071175.49</v>
      </c>
      <c r="L23" t="s">
        <v>44</v>
      </c>
    </row>
    <row r="24" spans="1:15" x14ac:dyDescent="0.35">
      <c r="A24">
        <v>153</v>
      </c>
      <c r="B24" t="s">
        <v>30</v>
      </c>
      <c r="C24" t="s">
        <v>17</v>
      </c>
      <c r="D24" t="s">
        <v>8</v>
      </c>
      <c r="E24">
        <v>1548</v>
      </c>
      <c r="F24" t="s">
        <v>18</v>
      </c>
      <c r="G24">
        <v>50</v>
      </c>
      <c r="H24">
        <v>2322.56</v>
      </c>
      <c r="I24">
        <v>192</v>
      </c>
      <c r="J24">
        <f t="shared" si="0"/>
        <v>445931.52000000002</v>
      </c>
      <c r="L24" t="s">
        <v>41</v>
      </c>
      <c r="N24" t="s">
        <v>40</v>
      </c>
    </row>
    <row r="25" spans="1:15" x14ac:dyDescent="0.35">
      <c r="A25">
        <v>157</v>
      </c>
      <c r="B25" t="s">
        <v>30</v>
      </c>
      <c r="C25" t="s">
        <v>9</v>
      </c>
      <c r="D25" t="s">
        <v>12</v>
      </c>
      <c r="E25">
        <v>6948</v>
      </c>
      <c r="F25" t="s">
        <v>18</v>
      </c>
      <c r="G25">
        <v>52</v>
      </c>
      <c r="H25">
        <v>1783.66</v>
      </c>
      <c r="I25">
        <v>142</v>
      </c>
      <c r="J25">
        <f t="shared" si="0"/>
        <v>253279.72</v>
      </c>
      <c r="L25" t="s">
        <v>50</v>
      </c>
      <c r="M25">
        <f>M7-M5</f>
        <v>171</v>
      </c>
      <c r="N25" t="s">
        <v>50</v>
      </c>
      <c r="O25">
        <f>O7-O5</f>
        <v>5342.9399999990128</v>
      </c>
    </row>
    <row r="26" spans="1:15" x14ac:dyDescent="0.35">
      <c r="A26">
        <v>177</v>
      </c>
      <c r="B26" t="s">
        <v>30</v>
      </c>
      <c r="C26" t="s">
        <v>13</v>
      </c>
      <c r="D26" t="s">
        <v>22</v>
      </c>
      <c r="E26">
        <v>336</v>
      </c>
      <c r="F26" t="s">
        <v>18</v>
      </c>
      <c r="G26">
        <v>45</v>
      </c>
      <c r="H26">
        <v>562.73</v>
      </c>
      <c r="I26">
        <v>146</v>
      </c>
      <c r="J26">
        <f t="shared" si="0"/>
        <v>82158.58</v>
      </c>
      <c r="L26" t="s">
        <v>51</v>
      </c>
      <c r="M26">
        <f>N5-N7</f>
        <v>15.555555555555557</v>
      </c>
      <c r="N26" t="s">
        <v>51</v>
      </c>
      <c r="O26">
        <f>P5-P7</f>
        <v>74209.745277777867</v>
      </c>
    </row>
    <row r="27" spans="1:15" x14ac:dyDescent="0.35">
      <c r="A27">
        <v>187</v>
      </c>
      <c r="B27" t="s">
        <v>30</v>
      </c>
      <c r="C27" t="s">
        <v>22</v>
      </c>
      <c r="D27" t="s">
        <v>23</v>
      </c>
      <c r="E27">
        <v>2609</v>
      </c>
      <c r="F27" t="s">
        <v>18</v>
      </c>
      <c r="G27">
        <v>31</v>
      </c>
      <c r="H27">
        <v>3467.59</v>
      </c>
      <c r="I27">
        <v>41</v>
      </c>
      <c r="J27">
        <f t="shared" si="0"/>
        <v>142171.19</v>
      </c>
    </row>
    <row r="28" spans="1:15" x14ac:dyDescent="0.35">
      <c r="A28">
        <v>211</v>
      </c>
      <c r="B28" t="s">
        <v>30</v>
      </c>
      <c r="C28" t="s">
        <v>24</v>
      </c>
      <c r="D28" t="s">
        <v>16</v>
      </c>
      <c r="E28">
        <v>3045</v>
      </c>
      <c r="F28" t="s">
        <v>18</v>
      </c>
      <c r="G28">
        <v>98</v>
      </c>
      <c r="H28">
        <v>875.76</v>
      </c>
      <c r="I28">
        <v>98</v>
      </c>
      <c r="J28">
        <f t="shared" si="0"/>
        <v>85824.48</v>
      </c>
    </row>
    <row r="29" spans="1:15" x14ac:dyDescent="0.35">
      <c r="A29">
        <v>221</v>
      </c>
      <c r="B29" t="s">
        <v>30</v>
      </c>
      <c r="C29" t="s">
        <v>13</v>
      </c>
      <c r="D29" t="s">
        <v>9</v>
      </c>
      <c r="E29">
        <v>636</v>
      </c>
      <c r="F29" t="s">
        <v>18</v>
      </c>
      <c r="G29">
        <v>67</v>
      </c>
      <c r="H29">
        <v>1835.17</v>
      </c>
      <c r="I29">
        <v>65</v>
      </c>
      <c r="J29">
        <f t="shared" si="0"/>
        <v>119286.05</v>
      </c>
    </row>
    <row r="30" spans="1:15" x14ac:dyDescent="0.35">
      <c r="A30">
        <v>225</v>
      </c>
      <c r="B30" t="s">
        <v>30</v>
      </c>
      <c r="C30" t="s">
        <v>17</v>
      </c>
      <c r="D30" t="s">
        <v>9</v>
      </c>
      <c r="E30">
        <v>9699</v>
      </c>
      <c r="F30" t="s">
        <v>18</v>
      </c>
      <c r="G30">
        <v>34</v>
      </c>
      <c r="H30">
        <v>1167.8800000000001</v>
      </c>
      <c r="I30">
        <v>77</v>
      </c>
      <c r="J30">
        <f t="shared" si="0"/>
        <v>89926.760000000009</v>
      </c>
    </row>
    <row r="31" spans="1:15" x14ac:dyDescent="0.35">
      <c r="A31">
        <v>247</v>
      </c>
      <c r="B31" t="s">
        <v>30</v>
      </c>
      <c r="C31" t="s">
        <v>16</v>
      </c>
      <c r="D31" t="s">
        <v>9</v>
      </c>
      <c r="E31">
        <v>6941</v>
      </c>
      <c r="F31" t="s">
        <v>18</v>
      </c>
      <c r="G31">
        <v>36</v>
      </c>
      <c r="H31">
        <v>1525.2</v>
      </c>
      <c r="I31">
        <v>98</v>
      </c>
      <c r="J31">
        <f t="shared" si="0"/>
        <v>149469.6</v>
      </c>
    </row>
  </sheetData>
  <pageMargins left="0.7" right="0.7" top="0.75" bottom="0.75" header="0.3" footer="0.3"/>
  <ignoredErrors>
    <ignoredError sqref="M3:N3 M5:N5 M7:N7"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0CA1F-C57E-49BC-BFD8-7B3DEE149F3C}">
  <dimension ref="A1:D33"/>
  <sheetViews>
    <sheetView topLeftCell="A4" workbookViewId="0">
      <selection activeCell="A4" sqref="A4"/>
    </sheetView>
  </sheetViews>
  <sheetFormatPr defaultRowHeight="14.5" x14ac:dyDescent="0.35"/>
  <cols>
    <col min="1" max="1" width="17.26953125" customWidth="1"/>
    <col min="3" max="3" width="11.6328125" customWidth="1"/>
    <col min="4" max="4" width="14.81640625" customWidth="1"/>
  </cols>
  <sheetData>
    <row r="1" spans="1:4" x14ac:dyDescent="0.35">
      <c r="A1" t="s">
        <v>1</v>
      </c>
      <c r="B1" t="s">
        <v>63</v>
      </c>
      <c r="C1" t="s">
        <v>32</v>
      </c>
      <c r="D1" t="s">
        <v>34</v>
      </c>
    </row>
    <row r="3" spans="1:4" x14ac:dyDescent="0.35">
      <c r="A3" t="s">
        <v>29</v>
      </c>
      <c r="B3" t="s">
        <v>14</v>
      </c>
      <c r="C3">
        <v>727</v>
      </c>
      <c r="D3">
        <v>900480.45</v>
      </c>
    </row>
    <row r="4" spans="1:4" x14ac:dyDescent="0.35">
      <c r="B4" t="s">
        <v>36</v>
      </c>
      <c r="C4">
        <v>1450</v>
      </c>
      <c r="D4">
        <v>3718410.06</v>
      </c>
    </row>
    <row r="5" spans="1:4" x14ac:dyDescent="0.35">
      <c r="B5" t="s">
        <v>37</v>
      </c>
      <c r="C5">
        <v>1257</v>
      </c>
      <c r="D5">
        <v>2477396.36</v>
      </c>
    </row>
    <row r="7" spans="1:4" x14ac:dyDescent="0.35">
      <c r="A7" t="s">
        <v>59</v>
      </c>
      <c r="B7" t="s">
        <v>14</v>
      </c>
      <c r="C7">
        <v>871</v>
      </c>
      <c r="D7">
        <v>2022707.85</v>
      </c>
    </row>
    <row r="8" spans="1:4" x14ac:dyDescent="0.35">
      <c r="B8" t="s">
        <v>36</v>
      </c>
      <c r="C8">
        <v>1530</v>
      </c>
      <c r="D8">
        <v>2380001.35</v>
      </c>
    </row>
    <row r="9" spans="1:4" x14ac:dyDescent="0.35">
      <c r="B9" t="s">
        <v>37</v>
      </c>
      <c r="C9">
        <v>1323</v>
      </c>
      <c r="D9">
        <v>3463255.29</v>
      </c>
    </row>
    <row r="11" spans="1:4" x14ac:dyDescent="0.35">
      <c r="A11" t="s">
        <v>60</v>
      </c>
      <c r="B11" t="s">
        <v>14</v>
      </c>
      <c r="C11">
        <v>520</v>
      </c>
      <c r="D11">
        <v>587435.69999999995</v>
      </c>
    </row>
    <row r="12" spans="1:4" x14ac:dyDescent="0.35">
      <c r="B12" t="s">
        <v>36</v>
      </c>
      <c r="C12">
        <v>1529</v>
      </c>
      <c r="D12">
        <v>2487199.2200000002</v>
      </c>
    </row>
    <row r="13" spans="1:4" x14ac:dyDescent="0.35">
      <c r="B13" t="s">
        <v>37</v>
      </c>
      <c r="C13">
        <v>1011</v>
      </c>
      <c r="D13">
        <v>1562497.13</v>
      </c>
    </row>
    <row r="15" spans="1:4" x14ac:dyDescent="0.35">
      <c r="A15" t="s">
        <v>11</v>
      </c>
      <c r="B15" t="s">
        <v>14</v>
      </c>
      <c r="C15">
        <v>1418</v>
      </c>
      <c r="D15">
        <v>2745456.4</v>
      </c>
    </row>
    <row r="16" spans="1:4" x14ac:dyDescent="0.35">
      <c r="B16" t="s">
        <v>36</v>
      </c>
      <c r="C16">
        <v>394</v>
      </c>
      <c r="D16">
        <v>410307.91000000003</v>
      </c>
    </row>
    <row r="17" spans="1:4" x14ac:dyDescent="0.35">
      <c r="B17" t="s">
        <v>37</v>
      </c>
      <c r="C17">
        <v>638</v>
      </c>
      <c r="D17">
        <v>1704340.2100000002</v>
      </c>
    </row>
    <row r="19" spans="1:4" x14ac:dyDescent="0.35">
      <c r="A19" t="s">
        <v>25</v>
      </c>
      <c r="B19" t="s">
        <v>14</v>
      </c>
      <c r="C19">
        <v>1000</v>
      </c>
      <c r="D19">
        <v>2690237.7300000004</v>
      </c>
    </row>
    <row r="20" spans="1:4" x14ac:dyDescent="0.35">
      <c r="B20" t="s">
        <v>36</v>
      </c>
      <c r="C20">
        <v>1221</v>
      </c>
      <c r="D20">
        <v>2393711.64</v>
      </c>
    </row>
    <row r="21" spans="1:4" x14ac:dyDescent="0.35">
      <c r="B21" t="s">
        <v>37</v>
      </c>
      <c r="C21">
        <v>676</v>
      </c>
      <c r="D21">
        <v>1192351.6299999999</v>
      </c>
    </row>
    <row r="23" spans="1:4" x14ac:dyDescent="0.35">
      <c r="A23" t="s">
        <v>61</v>
      </c>
      <c r="B23" t="s">
        <v>14</v>
      </c>
      <c r="C23">
        <v>1027</v>
      </c>
      <c r="D23">
        <v>1703027.3999999994</v>
      </c>
    </row>
    <row r="24" spans="1:4" x14ac:dyDescent="0.35">
      <c r="B24" t="s">
        <v>36</v>
      </c>
      <c r="C24">
        <v>817</v>
      </c>
      <c r="D24">
        <v>2251871.79</v>
      </c>
    </row>
    <row r="25" spans="1:4" x14ac:dyDescent="0.35">
      <c r="B25" t="s">
        <v>37</v>
      </c>
      <c r="C25">
        <v>1500</v>
      </c>
      <c r="D25">
        <v>4167469.37</v>
      </c>
    </row>
    <row r="27" spans="1:4" x14ac:dyDescent="0.35">
      <c r="A27" t="s">
        <v>28</v>
      </c>
      <c r="B27" t="s">
        <v>14</v>
      </c>
      <c r="C27">
        <v>877</v>
      </c>
      <c r="D27">
        <v>728537.77</v>
      </c>
    </row>
    <row r="28" spans="1:4" x14ac:dyDescent="0.35">
      <c r="B28" t="s">
        <v>36</v>
      </c>
      <c r="C28">
        <v>1165</v>
      </c>
      <c r="D28">
        <v>1616499.6800000002</v>
      </c>
    </row>
    <row r="29" spans="1:4" x14ac:dyDescent="0.35">
      <c r="B29" t="s">
        <v>37</v>
      </c>
      <c r="C29">
        <v>863</v>
      </c>
      <c r="D29">
        <v>2001939.7100000002</v>
      </c>
    </row>
    <row r="31" spans="1:4" x14ac:dyDescent="0.35">
      <c r="A31" t="s">
        <v>62</v>
      </c>
      <c r="B31" t="s">
        <v>14</v>
      </c>
      <c r="C31">
        <v>1014</v>
      </c>
      <c r="D31">
        <v>2107613.4400000004</v>
      </c>
    </row>
    <row r="32" spans="1:4" x14ac:dyDescent="0.35">
      <c r="B32" t="s">
        <v>36</v>
      </c>
      <c r="C32">
        <v>1073</v>
      </c>
      <c r="D32">
        <v>2687579.6500000004</v>
      </c>
    </row>
    <row r="33" spans="2:4" x14ac:dyDescent="0.35">
      <c r="B33" t="s">
        <v>37</v>
      </c>
      <c r="C33">
        <v>1244</v>
      </c>
      <c r="D33">
        <v>2692922.5899999994</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66876-63A4-43D0-81C0-6D30EEBAD10F}">
  <dimension ref="A1:C17"/>
  <sheetViews>
    <sheetView workbookViewId="0">
      <selection activeCell="B21" sqref="B21"/>
    </sheetView>
  </sheetViews>
  <sheetFormatPr defaultRowHeight="14.5" x14ac:dyDescent="0.35"/>
  <cols>
    <col min="1" max="1" width="20.1796875" customWidth="1"/>
    <col min="2" max="2" width="11.1796875" customWidth="1"/>
    <col min="3" max="3" width="13.7265625" customWidth="1"/>
  </cols>
  <sheetData>
    <row r="1" spans="1:3" x14ac:dyDescent="0.35">
      <c r="A1" t="s">
        <v>1</v>
      </c>
      <c r="B1" t="s">
        <v>32</v>
      </c>
      <c r="C1" t="s">
        <v>34</v>
      </c>
    </row>
    <row r="3" spans="1:3" x14ac:dyDescent="0.35">
      <c r="A3" t="s">
        <v>58</v>
      </c>
      <c r="B3">
        <v>3434</v>
      </c>
      <c r="C3">
        <v>7096286.8699999992</v>
      </c>
    </row>
    <row r="5" spans="1:3" x14ac:dyDescent="0.35">
      <c r="A5" t="s">
        <v>59</v>
      </c>
      <c r="B5">
        <v>3724</v>
      </c>
      <c r="C5">
        <v>7865964.4900000002</v>
      </c>
    </row>
    <row r="7" spans="1:3" x14ac:dyDescent="0.35">
      <c r="A7" t="s">
        <v>60</v>
      </c>
      <c r="B7">
        <v>3060</v>
      </c>
      <c r="C7">
        <v>4637132.05</v>
      </c>
    </row>
    <row r="9" spans="1:3" x14ac:dyDescent="0.35">
      <c r="A9" t="s">
        <v>11</v>
      </c>
      <c r="B9">
        <v>2450</v>
      </c>
      <c r="C9">
        <v>4860104.5200000005</v>
      </c>
    </row>
    <row r="11" spans="1:3" x14ac:dyDescent="0.35">
      <c r="A11" t="s">
        <v>25</v>
      </c>
      <c r="B11">
        <v>2897</v>
      </c>
      <c r="C11">
        <v>6276301.0000000009</v>
      </c>
    </row>
    <row r="13" spans="1:3" x14ac:dyDescent="0.35">
      <c r="A13" t="s">
        <v>61</v>
      </c>
      <c r="B13">
        <v>3344</v>
      </c>
      <c r="C13">
        <v>8122368.5599999996</v>
      </c>
    </row>
    <row r="15" spans="1:3" x14ac:dyDescent="0.35">
      <c r="A15" t="s">
        <v>28</v>
      </c>
      <c r="B15">
        <v>2905</v>
      </c>
      <c r="C15">
        <v>4346977.16</v>
      </c>
    </row>
    <row r="17" spans="1:3" x14ac:dyDescent="0.35">
      <c r="A17" t="s">
        <v>62</v>
      </c>
      <c r="B17">
        <v>3331</v>
      </c>
      <c r="C17">
        <v>7488115.6799999997</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D8FC6-4727-45DA-BF53-960FE60B00D1}">
  <dimension ref="A1:A62"/>
  <sheetViews>
    <sheetView tabSelected="1" workbookViewId="0">
      <selection activeCell="G5" sqref="G5"/>
    </sheetView>
  </sheetViews>
  <sheetFormatPr defaultRowHeight="14.5" x14ac:dyDescent="0.35"/>
  <sheetData>
    <row r="1" spans="1:1" x14ac:dyDescent="0.35">
      <c r="A1" t="s">
        <v>64</v>
      </c>
    </row>
    <row r="2" spans="1:1" x14ac:dyDescent="0.35">
      <c r="A2" t="s">
        <v>65</v>
      </c>
    </row>
    <row r="3" spans="1:1" x14ac:dyDescent="0.35">
      <c r="A3" t="s">
        <v>66</v>
      </c>
    </row>
    <row r="5" spans="1:1" x14ac:dyDescent="0.35">
      <c r="A5" t="s">
        <v>67</v>
      </c>
    </row>
    <row r="6" spans="1:1" x14ac:dyDescent="0.35">
      <c r="A6" t="s">
        <v>68</v>
      </c>
    </row>
    <row r="7" spans="1:1" x14ac:dyDescent="0.35">
      <c r="A7" t="s">
        <v>69</v>
      </c>
    </row>
    <row r="8" spans="1:1" x14ac:dyDescent="0.35">
      <c r="A8" t="s">
        <v>70</v>
      </c>
    </row>
    <row r="10" spans="1:1" x14ac:dyDescent="0.35">
      <c r="A10" t="s">
        <v>71</v>
      </c>
    </row>
    <row r="11" spans="1:1" x14ac:dyDescent="0.35">
      <c r="A11" t="s">
        <v>72</v>
      </c>
    </row>
    <row r="12" spans="1:1" x14ac:dyDescent="0.35">
      <c r="A12" t="s">
        <v>73</v>
      </c>
    </row>
    <row r="14" spans="1:1" x14ac:dyDescent="0.35">
      <c r="A14" t="s">
        <v>74</v>
      </c>
    </row>
    <row r="15" spans="1:1" x14ac:dyDescent="0.35">
      <c r="A15" t="s">
        <v>75</v>
      </c>
    </row>
    <row r="16" spans="1:1" x14ac:dyDescent="0.35">
      <c r="A16" t="s">
        <v>76</v>
      </c>
    </row>
    <row r="18" spans="1:1" x14ac:dyDescent="0.35">
      <c r="A18" t="s">
        <v>77</v>
      </c>
    </row>
    <row r="19" spans="1:1" x14ac:dyDescent="0.35">
      <c r="A19" t="s">
        <v>78</v>
      </c>
    </row>
    <row r="20" spans="1:1" x14ac:dyDescent="0.35">
      <c r="A20" t="s">
        <v>79</v>
      </c>
    </row>
    <row r="22" spans="1:1" x14ac:dyDescent="0.35">
      <c r="A22" t="s">
        <v>80</v>
      </c>
    </row>
    <row r="23" spans="1:1" x14ac:dyDescent="0.35">
      <c r="A23" t="s">
        <v>81</v>
      </c>
    </row>
    <row r="24" spans="1:1" x14ac:dyDescent="0.35">
      <c r="A24" t="s">
        <v>82</v>
      </c>
    </row>
    <row r="26" spans="1:1" x14ac:dyDescent="0.35">
      <c r="A26" t="s">
        <v>83</v>
      </c>
    </row>
    <row r="27" spans="1:1" x14ac:dyDescent="0.35">
      <c r="A27" t="s">
        <v>84</v>
      </c>
    </row>
    <row r="28" spans="1:1" x14ac:dyDescent="0.35">
      <c r="A28" t="s">
        <v>85</v>
      </c>
    </row>
    <row r="30" spans="1:1" x14ac:dyDescent="0.35">
      <c r="A30" t="s">
        <v>86</v>
      </c>
    </row>
    <row r="31" spans="1:1" x14ac:dyDescent="0.35">
      <c r="A31" t="s">
        <v>87</v>
      </c>
    </row>
    <row r="32" spans="1:1" x14ac:dyDescent="0.35">
      <c r="A32" t="s">
        <v>88</v>
      </c>
    </row>
    <row r="34" spans="1:1" x14ac:dyDescent="0.35">
      <c r="A34" t="s">
        <v>89</v>
      </c>
    </row>
    <row r="35" spans="1:1" x14ac:dyDescent="0.35">
      <c r="A35" t="s">
        <v>90</v>
      </c>
    </row>
    <row r="36" spans="1:1" x14ac:dyDescent="0.35">
      <c r="A36" t="s">
        <v>91</v>
      </c>
    </row>
    <row r="38" spans="1:1" x14ac:dyDescent="0.35">
      <c r="A38" t="s">
        <v>92</v>
      </c>
    </row>
    <row r="39" spans="1:1" x14ac:dyDescent="0.35">
      <c r="A39" t="s">
        <v>93</v>
      </c>
    </row>
    <row r="40" spans="1:1" x14ac:dyDescent="0.35">
      <c r="A40" t="s">
        <v>94</v>
      </c>
    </row>
    <row r="41" spans="1:1" x14ac:dyDescent="0.35">
      <c r="A41" t="s">
        <v>95</v>
      </c>
    </row>
    <row r="43" spans="1:1" x14ac:dyDescent="0.35">
      <c r="A43" t="s">
        <v>96</v>
      </c>
    </row>
    <row r="44" spans="1:1" x14ac:dyDescent="0.35">
      <c r="A44" t="s">
        <v>97</v>
      </c>
    </row>
    <row r="45" spans="1:1" x14ac:dyDescent="0.35">
      <c r="A45" t="s">
        <v>98</v>
      </c>
    </row>
    <row r="46" spans="1:1" x14ac:dyDescent="0.35">
      <c r="A46" t="s">
        <v>99</v>
      </c>
    </row>
    <row r="47" spans="1:1" x14ac:dyDescent="0.35">
      <c r="A47" t="s">
        <v>100</v>
      </c>
    </row>
    <row r="49" spans="1:1" x14ac:dyDescent="0.35">
      <c r="A49" t="s">
        <v>101</v>
      </c>
    </row>
    <row r="51" spans="1:1" x14ac:dyDescent="0.35">
      <c r="A51" t="s">
        <v>102</v>
      </c>
    </row>
    <row r="52" spans="1:1" x14ac:dyDescent="0.35">
      <c r="A52" t="s">
        <v>103</v>
      </c>
    </row>
    <row r="53" spans="1:1" x14ac:dyDescent="0.35">
      <c r="A53" t="s">
        <v>104</v>
      </c>
    </row>
    <row r="54" spans="1:1" x14ac:dyDescent="0.35">
      <c r="A54" t="s">
        <v>105</v>
      </c>
    </row>
    <row r="55" spans="1:1" x14ac:dyDescent="0.35">
      <c r="A55" t="s">
        <v>106</v>
      </c>
    </row>
    <row r="57" spans="1:1" x14ac:dyDescent="0.35">
      <c r="A57" t="s">
        <v>107</v>
      </c>
    </row>
    <row r="58" spans="1:1" x14ac:dyDescent="0.35">
      <c r="A58" t="s">
        <v>108</v>
      </c>
    </row>
    <row r="59" spans="1:1" x14ac:dyDescent="0.35">
      <c r="A59" t="s">
        <v>109</v>
      </c>
    </row>
    <row r="60" spans="1:1" x14ac:dyDescent="0.35">
      <c r="A60" t="s">
        <v>110</v>
      </c>
    </row>
    <row r="61" spans="1:1" x14ac:dyDescent="0.35">
      <c r="A61" t="s">
        <v>111</v>
      </c>
    </row>
    <row r="62" spans="1:1" x14ac:dyDescent="0.35">
      <c r="A62"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Sh1-airline ticket prices datas</vt:lpstr>
      <vt:lpstr>Sheet 2- Table Visualisation</vt:lpstr>
      <vt:lpstr>Sheet 3- Ticket Sales Pivot</vt:lpstr>
      <vt:lpstr>Sheet 4- Revenue Pivot</vt:lpstr>
      <vt:lpstr>Sheet 5- Air India Data</vt:lpstr>
      <vt:lpstr>Sheet 6- British Airways Data </vt:lpstr>
      <vt:lpstr>Sheet 7-Emirates Data</vt:lpstr>
      <vt:lpstr>Sheet 8-Etihad Data</vt:lpstr>
      <vt:lpstr>Sheet 9- Lufthansa Data</vt:lpstr>
      <vt:lpstr>Sheet 10- Qatar Airways Data</vt:lpstr>
      <vt:lpstr>Sheet11-Singapore Airlines Data</vt:lpstr>
      <vt:lpstr>Sheet 12- Thai Airways Data</vt:lpstr>
      <vt:lpstr>Sheet13- Comparison by Classes</vt:lpstr>
      <vt:lpstr>Sheet 14- Overall Comparison</vt:lpstr>
      <vt:lpstr>Sheet 15- Insights Report 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dc:creator>
  <cp:lastModifiedBy>ASHWIN K</cp:lastModifiedBy>
  <dcterms:created xsi:type="dcterms:W3CDTF">2026-03-20T15:48:13Z</dcterms:created>
  <dcterms:modified xsi:type="dcterms:W3CDTF">2026-03-25T14:23:45Z</dcterms:modified>
</cp:coreProperties>
</file>